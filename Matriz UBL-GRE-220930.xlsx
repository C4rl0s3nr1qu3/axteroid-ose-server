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C4rl0s\work\axteroid\C4rl0s\PSE\"/>
    </mc:Choice>
  </mc:AlternateContent>
  <bookViews>
    <workbookView xWindow="0" yWindow="0" windowWidth="19395" windowHeight="7260" tabRatio="840" firstSheet="1" activeTab="1"/>
  </bookViews>
  <sheets>
    <sheet name="GRE-Remitente" sheetId="4" r:id="rId1"/>
    <sheet name="TXT-JSON-GRE-Remitente" sheetId="3" r:id="rId2"/>
    <sheet name="GRE-R-TXT" sheetId="9" r:id="rId3"/>
    <sheet name="GRE-Transportista" sheetId="5" r:id="rId4"/>
    <sheet name="TXT-JSON-GRE-Transportista" sheetId="7" r:id="rId5"/>
    <sheet name="GRE-T-TXT" sheetId="10" r:id="rId6"/>
    <sheet name="Catalogos" sheetId="6" r:id="rId7"/>
    <sheet name="Codigos retorno" sheetId="8" r:id="rId8"/>
  </sheets>
  <externalReferences>
    <externalReference r:id="rId9"/>
  </externalReferenc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93" i="5" l="1"/>
  <c r="L292" i="5"/>
  <c r="L290" i="5"/>
  <c r="L289" i="5"/>
  <c r="L288" i="5"/>
  <c r="L287" i="5"/>
  <c r="L286" i="5"/>
  <c r="L285" i="5"/>
  <c r="L284" i="5"/>
  <c r="L283" i="5"/>
  <c r="L282" i="5"/>
  <c r="L281" i="5"/>
  <c r="L279" i="5"/>
  <c r="L278" i="5"/>
  <c r="L277" i="5"/>
  <c r="L276" i="5"/>
  <c r="L275" i="5"/>
  <c r="L274" i="5"/>
  <c r="L273" i="5"/>
  <c r="L272" i="5"/>
  <c r="L270" i="5"/>
  <c r="L269" i="5"/>
  <c r="L268" i="5"/>
  <c r="L267" i="5"/>
  <c r="L266" i="5"/>
  <c r="L265" i="5"/>
  <c r="L264" i="5"/>
  <c r="L263" i="5"/>
  <c r="L262" i="5"/>
  <c r="L261" i="5"/>
  <c r="L260" i="5"/>
  <c r="L259" i="5"/>
  <c r="L258" i="5"/>
  <c r="L257" i="5"/>
  <c r="L256" i="5"/>
  <c r="L255" i="5"/>
  <c r="L254" i="5"/>
  <c r="L253" i="5"/>
  <c r="L252" i="5"/>
  <c r="L251" i="5"/>
  <c r="L250" i="5"/>
  <c r="L249" i="5"/>
  <c r="L247" i="5"/>
  <c r="L246" i="5"/>
  <c r="L245" i="5"/>
  <c r="L244" i="5"/>
  <c r="L243" i="5"/>
  <c r="L242" i="5"/>
  <c r="L241" i="5"/>
  <c r="L240" i="5"/>
  <c r="L239" i="5"/>
  <c r="L238" i="5"/>
  <c r="L237" i="5"/>
  <c r="L236" i="5"/>
  <c r="L235" i="5"/>
  <c r="L234" i="5"/>
  <c r="L233" i="5"/>
  <c r="L232" i="5"/>
  <c r="L231" i="5"/>
  <c r="L230" i="5"/>
  <c r="L229" i="5"/>
  <c r="L227" i="5"/>
  <c r="L226" i="5"/>
  <c r="L225" i="5"/>
  <c r="L224" i="5"/>
  <c r="L223" i="5"/>
  <c r="L222" i="5"/>
  <c r="L221" i="5"/>
  <c r="L220" i="5"/>
  <c r="L219" i="5"/>
  <c r="L218" i="5"/>
  <c r="L217" i="5"/>
  <c r="L216" i="5"/>
  <c r="L215" i="5"/>
  <c r="L214" i="5"/>
  <c r="L213" i="5"/>
  <c r="L212" i="5"/>
  <c r="L211" i="5"/>
  <c r="L210" i="5"/>
  <c r="L208" i="5"/>
  <c r="L207" i="5"/>
  <c r="L206" i="5"/>
  <c r="L205" i="5"/>
  <c r="L204" i="5"/>
  <c r="L203" i="5"/>
  <c r="L202" i="5"/>
  <c r="L201" i="5"/>
  <c r="L200" i="5"/>
  <c r="L199" i="5"/>
  <c r="B199" i="5"/>
  <c r="B202" i="5" s="1"/>
  <c r="B210" i="5" s="1"/>
  <c r="B212" i="5" s="1"/>
  <c r="B221" i="5" s="1"/>
  <c r="B225" i="5" s="1"/>
  <c r="B229" i="5" s="1"/>
  <c r="B231" i="5" s="1"/>
  <c r="B241" i="5" s="1"/>
  <c r="B245" i="5" s="1"/>
  <c r="B249" i="5" s="1"/>
  <c r="B250" i="5" s="1"/>
  <c r="B253" i="5" s="1"/>
  <c r="B258" i="5" s="1"/>
  <c r="B262" i="5" s="1"/>
  <c r="B263" i="5" s="1"/>
  <c r="B265" i="5" s="1"/>
  <c r="B266" i="5" s="1"/>
  <c r="B267" i="5" s="1"/>
  <c r="B268" i="5" s="1"/>
  <c r="B270" i="5" s="1"/>
  <c r="B272" i="5" s="1"/>
  <c r="B278" i="5" s="1"/>
  <c r="B281" i="5" s="1"/>
  <c r="B289" i="5" s="1"/>
  <c r="B292" i="5" s="1"/>
  <c r="L198" i="5"/>
  <c r="L197" i="5"/>
  <c r="L196" i="5"/>
  <c r="L194" i="5"/>
  <c r="L193" i="5"/>
  <c r="L192" i="5"/>
  <c r="L191" i="5"/>
  <c r="L190" i="5"/>
  <c r="L189" i="5"/>
  <c r="L188" i="5"/>
  <c r="L187" i="5"/>
  <c r="L186" i="5"/>
  <c r="L185" i="5"/>
  <c r="L184" i="5"/>
  <c r="L183" i="5"/>
  <c r="L182" i="5"/>
  <c r="L180" i="5"/>
  <c r="L179" i="5"/>
  <c r="L178" i="5"/>
  <c r="L177" i="5"/>
  <c r="L176" i="5"/>
  <c r="L175" i="5"/>
  <c r="L174" i="5"/>
  <c r="L173" i="5"/>
  <c r="L172" i="5"/>
  <c r="L171" i="5"/>
  <c r="L170" i="5"/>
  <c r="L169" i="5"/>
  <c r="L168" i="5"/>
  <c r="L166" i="5"/>
  <c r="L165" i="5"/>
  <c r="L164" i="5"/>
  <c r="L163" i="5"/>
  <c r="L162" i="5"/>
  <c r="L161" i="5"/>
  <c r="B161" i="5"/>
  <c r="B163" i="5" s="1"/>
  <c r="B168" i="5" s="1"/>
  <c r="B174" i="5" s="1"/>
  <c r="B177" i="5" s="1"/>
  <c r="B182" i="5" s="1"/>
  <c r="B185" i="5" s="1"/>
  <c r="L160" i="5"/>
  <c r="L159" i="5"/>
  <c r="L158" i="5"/>
  <c r="L157" i="5"/>
  <c r="L156" i="5"/>
  <c r="L154" i="5"/>
  <c r="L153" i="5"/>
  <c r="L152" i="5"/>
  <c r="L151" i="5"/>
  <c r="L150" i="5"/>
  <c r="L149" i="5"/>
  <c r="L148" i="5"/>
  <c r="L147" i="5"/>
  <c r="L146" i="5"/>
  <c r="L145" i="5"/>
  <c r="L144" i="5"/>
  <c r="L143" i="5"/>
  <c r="L142" i="5"/>
  <c r="L141" i="5"/>
  <c r="L140" i="5"/>
  <c r="L139" i="5"/>
  <c r="L138" i="5"/>
  <c r="L137" i="5"/>
  <c r="L136" i="5"/>
  <c r="L135" i="5"/>
  <c r="L134" i="5"/>
  <c r="L133" i="5"/>
  <c r="L132" i="5"/>
  <c r="L131" i="5"/>
  <c r="L130" i="5"/>
  <c r="L129" i="5"/>
  <c r="L128" i="5"/>
  <c r="L127" i="5"/>
  <c r="L126" i="5"/>
  <c r="L125" i="5"/>
  <c r="L124" i="5"/>
  <c r="L123" i="5"/>
  <c r="L122" i="5"/>
  <c r="L121" i="5"/>
  <c r="L119" i="5"/>
  <c r="L118" i="5"/>
  <c r="L117" i="5"/>
  <c r="L116" i="5"/>
  <c r="L115" i="5"/>
  <c r="L114" i="5"/>
  <c r="L113" i="5"/>
  <c r="L112" i="5"/>
  <c r="L111" i="5"/>
  <c r="L110" i="5"/>
  <c r="L109" i="5"/>
  <c r="L108" i="5"/>
  <c r="L107" i="5"/>
  <c r="L106" i="5"/>
  <c r="L105" i="5"/>
  <c r="L104" i="5"/>
  <c r="L102" i="5"/>
  <c r="L101" i="5"/>
  <c r="L100" i="5"/>
  <c r="L99" i="5"/>
  <c r="L98" i="5"/>
  <c r="L97" i="5"/>
  <c r="L96" i="5"/>
  <c r="L95" i="5"/>
  <c r="L94" i="5"/>
  <c r="L93" i="5"/>
  <c r="L92" i="5"/>
  <c r="L91" i="5"/>
  <c r="L90" i="5"/>
  <c r="L89" i="5"/>
  <c r="L88" i="5"/>
  <c r="L87" i="5"/>
  <c r="L85" i="5"/>
  <c r="L84" i="5"/>
  <c r="L83" i="5"/>
  <c r="L82" i="5"/>
  <c r="L81" i="5"/>
  <c r="L80" i="5"/>
  <c r="L79" i="5"/>
  <c r="L78" i="5"/>
  <c r="L77" i="5"/>
  <c r="L76" i="5"/>
  <c r="L75" i="5"/>
  <c r="L74" i="5"/>
  <c r="L73" i="5"/>
  <c r="L72" i="5"/>
  <c r="L71" i="5"/>
  <c r="L70" i="5"/>
  <c r="L69" i="5"/>
  <c r="L68" i="5"/>
  <c r="L67" i="5"/>
  <c r="L66" i="5"/>
  <c r="L65" i="5"/>
  <c r="L64" i="5"/>
  <c r="L63" i="5"/>
  <c r="L62" i="5"/>
  <c r="L61" i="5"/>
  <c r="L60" i="5"/>
  <c r="L59" i="5"/>
  <c r="L58" i="5"/>
  <c r="L57" i="5"/>
  <c r="L56" i="5"/>
  <c r="L55" i="5"/>
  <c r="L54" i="5"/>
  <c r="L53" i="5"/>
  <c r="L52" i="5"/>
  <c r="L51" i="5"/>
  <c r="L50" i="5"/>
  <c r="L49" i="5"/>
  <c r="B49" i="5"/>
  <c r="B52" i="5" s="1"/>
  <c r="B59" i="5" s="1"/>
  <c r="B78" i="5" s="1"/>
  <c r="B87" i="5" s="1"/>
  <c r="B101" i="5" s="1"/>
  <c r="B104" i="5" s="1"/>
  <c r="B118" i="5" s="1"/>
  <c r="B121" i="5" s="1"/>
  <c r="B127" i="5" s="1"/>
  <c r="B129" i="5" s="1"/>
  <c r="B134" i="5" s="1"/>
  <c r="B136" i="5" s="1"/>
  <c r="B137" i="5" s="1"/>
  <c r="B141" i="5" s="1"/>
  <c r="L47" i="5"/>
  <c r="L46" i="5"/>
  <c r="L45" i="5"/>
  <c r="L44" i="5"/>
  <c r="L43" i="5"/>
  <c r="L42" i="5"/>
  <c r="L41" i="5"/>
  <c r="L40" i="5"/>
  <c r="L39" i="5"/>
  <c r="L38" i="5"/>
  <c r="L37" i="5"/>
  <c r="L36" i="5"/>
  <c r="L35" i="5"/>
  <c r="L34" i="5"/>
  <c r="L33" i="5"/>
  <c r="L32" i="5"/>
  <c r="L31" i="5"/>
  <c r="L30" i="5"/>
  <c r="L29" i="5"/>
  <c r="L28" i="5"/>
  <c r="L27" i="5"/>
  <c r="L26" i="5"/>
  <c r="L24" i="5"/>
  <c r="L23" i="5"/>
  <c r="L22" i="5"/>
  <c r="L21" i="5"/>
  <c r="L20" i="5"/>
  <c r="L19" i="5"/>
  <c r="L18" i="5"/>
  <c r="L17" i="5"/>
  <c r="L16" i="5"/>
  <c r="L15" i="5"/>
  <c r="L14" i="5"/>
  <c r="B14" i="5"/>
  <c r="B17" i="5" s="1"/>
  <c r="B19" i="5" s="1"/>
  <c r="B24" i="5" s="1"/>
  <c r="B26" i="5" s="1"/>
  <c r="B35" i="5" s="1"/>
  <c r="B37" i="5" s="1"/>
  <c r="L13" i="5"/>
  <c r="L12" i="5"/>
  <c r="L11" i="5"/>
  <c r="L10" i="5"/>
  <c r="L9" i="5"/>
  <c r="L8" i="5"/>
  <c r="L7" i="5"/>
  <c r="L6" i="5"/>
  <c r="L5" i="5"/>
  <c r="L477" i="4"/>
  <c r="L476" i="4"/>
  <c r="L474" i="4"/>
  <c r="L473" i="4"/>
  <c r="L472" i="4"/>
  <c r="L471" i="4"/>
  <c r="L470" i="4"/>
  <c r="L469" i="4"/>
  <c r="L468" i="4"/>
  <c r="L467" i="4"/>
  <c r="L466" i="4"/>
  <c r="L465" i="4"/>
  <c r="L464" i="4"/>
  <c r="L463" i="4"/>
  <c r="L462" i="4"/>
  <c r="L461" i="4"/>
  <c r="L460" i="4"/>
  <c r="L459" i="4"/>
  <c r="L458" i="4"/>
  <c r="L457" i="4"/>
  <c r="L456" i="4"/>
  <c r="L455" i="4"/>
  <c r="L454" i="4"/>
  <c r="L453" i="4"/>
  <c r="L452" i="4"/>
  <c r="L451" i="4"/>
  <c r="L450" i="4"/>
  <c r="L449" i="4"/>
  <c r="L448" i="4"/>
  <c r="L447" i="4"/>
  <c r="L446" i="4"/>
  <c r="L445" i="4"/>
  <c r="L444" i="4"/>
  <c r="L443" i="4"/>
  <c r="L442" i="4"/>
  <c r="L441" i="4"/>
  <c r="L440" i="4"/>
  <c r="L439" i="4"/>
  <c r="L438" i="4"/>
  <c r="L437" i="4"/>
  <c r="L436" i="4"/>
  <c r="L435" i="4"/>
  <c r="L434" i="4"/>
  <c r="L432" i="4"/>
  <c r="L431" i="4"/>
  <c r="L430" i="4"/>
  <c r="L429" i="4"/>
  <c r="L428" i="4"/>
  <c r="L427" i="4"/>
  <c r="L426" i="4"/>
  <c r="L425" i="4"/>
  <c r="L424" i="4"/>
  <c r="L423" i="4"/>
  <c r="L422" i="4"/>
  <c r="L421" i="4"/>
  <c r="L420" i="4"/>
  <c r="L419" i="4"/>
  <c r="L418" i="4"/>
  <c r="L416" i="4"/>
  <c r="L415" i="4"/>
  <c r="L414" i="4"/>
  <c r="L413" i="4"/>
  <c r="L412" i="4"/>
  <c r="L411" i="4"/>
  <c r="L410" i="4"/>
  <c r="L409" i="4"/>
  <c r="L408" i="4"/>
  <c r="L407" i="4"/>
  <c r="L406" i="4"/>
  <c r="L405" i="4"/>
  <c r="L404" i="4"/>
  <c r="L403" i="4"/>
  <c r="L402" i="4"/>
  <c r="L401" i="4"/>
  <c r="L400" i="4"/>
  <c r="L399" i="4"/>
  <c r="L398" i="4"/>
  <c r="L397" i="4"/>
  <c r="L396" i="4"/>
  <c r="L395" i="4"/>
  <c r="L394" i="4"/>
  <c r="L393" i="4"/>
  <c r="L392" i="4"/>
  <c r="L391" i="4"/>
  <c r="L389" i="4"/>
  <c r="L388" i="4"/>
  <c r="L387" i="4"/>
  <c r="L386" i="4"/>
  <c r="L385" i="4"/>
  <c r="L384" i="4"/>
  <c r="L383" i="4"/>
  <c r="L382" i="4"/>
  <c r="L381" i="4"/>
  <c r="L380" i="4"/>
  <c r="L379" i="4"/>
  <c r="L378" i="4"/>
  <c r="L377" i="4"/>
  <c r="L376" i="4"/>
  <c r="L375" i="4"/>
  <c r="L374" i="4"/>
  <c r="L373" i="4"/>
  <c r="L372" i="4"/>
  <c r="L371" i="4"/>
  <c r="L370" i="4"/>
  <c r="L369" i="4"/>
  <c r="L368" i="4"/>
  <c r="L367" i="4"/>
  <c r="L366" i="4"/>
  <c r="L365" i="4"/>
  <c r="L364" i="4"/>
  <c r="L363"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0" i="4"/>
  <c r="L289" i="4"/>
  <c r="L288" i="4"/>
  <c r="L287" i="4"/>
  <c r="L286" i="4"/>
  <c r="L285" i="4"/>
  <c r="L284" i="4"/>
  <c r="L283" i="4"/>
  <c r="L282" i="4"/>
  <c r="L281" i="4"/>
  <c r="L280" i="4"/>
  <c r="L279" i="4"/>
  <c r="L278" i="4"/>
  <c r="L277" i="4"/>
  <c r="L276" i="4"/>
  <c r="L275" i="4"/>
  <c r="L274" i="4"/>
  <c r="L273" i="4"/>
  <c r="L271" i="4"/>
  <c r="L270" i="4"/>
  <c r="L269" i="4"/>
  <c r="L268" i="4"/>
  <c r="L267" i="4"/>
  <c r="L266" i="4"/>
  <c r="L265" i="4"/>
  <c r="L264" i="4"/>
  <c r="L263" i="4"/>
  <c r="L262" i="4"/>
  <c r="L261" i="4"/>
  <c r="L260" i="4"/>
  <c r="L259" i="4"/>
  <c r="L258" i="4"/>
  <c r="L257" i="4"/>
  <c r="L256" i="4"/>
  <c r="L255" i="4"/>
  <c r="L254"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B225" i="4"/>
  <c r="B238" i="4" s="1"/>
  <c r="B241" i="4" s="1"/>
  <c r="B246" i="4" s="1"/>
  <c r="B254" i="4" s="1"/>
  <c r="B259" i="4" s="1"/>
  <c r="B263" i="4" s="1"/>
  <c r="B273" i="4" s="1"/>
  <c r="B278" i="4" s="1"/>
  <c r="B282" i="4" s="1"/>
  <c r="B292" i="4" s="1"/>
  <c r="B295" i="4" s="1"/>
  <c r="B310" i="4" s="1"/>
  <c r="B320" i="4" s="1"/>
  <c r="B327" i="4" s="1"/>
  <c r="B328" i="4" s="1"/>
  <c r="B346" i="4" s="1"/>
  <c r="B356" i="4" s="1"/>
  <c r="B363" i="4" s="1"/>
  <c r="B370" i="4" s="1"/>
  <c r="B372" i="4" s="1"/>
  <c r="B378" i="4" s="1"/>
  <c r="B386" i="4" s="1"/>
  <c r="B391" i="4" s="1"/>
  <c r="B397" i="4" s="1"/>
  <c r="B399" i="4" s="1"/>
  <c r="B404" i="4" s="1"/>
  <c r="B413" i="4" s="1"/>
  <c r="B418" i="4" s="1"/>
  <c r="B425" i="4" s="1"/>
  <c r="B432" i="4" s="1"/>
  <c r="B434" i="4" s="1"/>
  <c r="B437" i="4" s="1"/>
  <c r="B440" i="4" s="1"/>
  <c r="B446" i="4" s="1"/>
  <c r="B448" i="4" s="1"/>
  <c r="B449" i="4" s="1"/>
  <c r="B456" i="4" s="1"/>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B180" i="4"/>
  <c r="B184" i="4" s="1"/>
  <c r="B186" i="4" s="1"/>
  <c r="B189" i="4" s="1"/>
  <c r="B192" i="4" s="1"/>
  <c r="B193" i="4" s="1"/>
  <c r="B195" i="4" s="1"/>
  <c r="B200" i="4" s="1"/>
  <c r="B209" i="4" s="1"/>
  <c r="B212" i="4" s="1"/>
  <c r="L179" i="4"/>
  <c r="L178" i="4"/>
  <c r="L177" i="4"/>
  <c r="L176" i="4"/>
  <c r="L175" i="4"/>
  <c r="L174" i="4"/>
  <c r="L173" i="4"/>
  <c r="L172" i="4"/>
  <c r="L171" i="4"/>
  <c r="L170" i="4"/>
  <c r="L169" i="4"/>
  <c r="L168" i="4"/>
  <c r="L167" i="4"/>
  <c r="L166" i="4"/>
  <c r="L165" i="4"/>
  <c r="L164" i="4"/>
  <c r="L163" i="4"/>
  <c r="L161" i="4"/>
  <c r="L160" i="4"/>
  <c r="L159" i="4"/>
  <c r="L158" i="4"/>
  <c r="L157" i="4"/>
  <c r="L156" i="4"/>
  <c r="L155" i="4"/>
  <c r="L154" i="4"/>
  <c r="L153" i="4"/>
  <c r="L152" i="4"/>
  <c r="L151" i="4"/>
  <c r="L150" i="4"/>
  <c r="L149" i="4"/>
  <c r="L148" i="4"/>
  <c r="L147" i="4"/>
  <c r="L146" i="4"/>
  <c r="L145" i="4"/>
  <c r="L144" i="4"/>
  <c r="L143" i="4"/>
  <c r="L142" i="4"/>
  <c r="L141" i="4"/>
  <c r="L140" i="4"/>
  <c r="L138" i="4"/>
  <c r="L137" i="4"/>
  <c r="L136" i="4"/>
  <c r="L135" i="4"/>
  <c r="L134" i="4"/>
  <c r="L133" i="4"/>
  <c r="L132" i="4"/>
  <c r="L131" i="4"/>
  <c r="L130" i="4"/>
  <c r="L129" i="4"/>
  <c r="L128" i="4"/>
  <c r="L127" i="4"/>
  <c r="L126" i="4"/>
  <c r="L125" i="4"/>
  <c r="L124" i="4"/>
  <c r="L123" i="4"/>
  <c r="L122" i="4"/>
  <c r="L121" i="4"/>
  <c r="L120" i="4"/>
  <c r="L119" i="4"/>
  <c r="L118" i="4"/>
  <c r="L117" i="4"/>
  <c r="L116" i="4"/>
  <c r="L115" i="4"/>
  <c r="L113" i="4"/>
  <c r="L112" i="4"/>
  <c r="L111" i="4"/>
  <c r="L110" i="4"/>
  <c r="L109" i="4"/>
  <c r="L108" i="4"/>
  <c r="L107" i="4"/>
  <c r="L106" i="4"/>
  <c r="L105" i="4"/>
  <c r="L104" i="4"/>
  <c r="L103" i="4"/>
  <c r="L102" i="4"/>
  <c r="L101" i="4"/>
  <c r="L100" i="4"/>
  <c r="L99" i="4"/>
  <c r="L98" i="4"/>
  <c r="L97" i="4"/>
  <c r="L96" i="4"/>
  <c r="L95"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B57" i="4"/>
  <c r="B83" i="4" s="1"/>
  <c r="B95" i="4" s="1"/>
  <c r="B112" i="4" s="1"/>
  <c r="B115" i="4" s="1"/>
  <c r="B136" i="4" s="1"/>
  <c r="B140" i="4" s="1"/>
  <c r="B159" i="4" s="1"/>
  <c r="B163" i="4" s="1"/>
  <c r="B164" i="4" s="1"/>
  <c r="B169" i="4" s="1"/>
  <c r="L56" i="4"/>
  <c r="L55" i="4"/>
  <c r="L54" i="4"/>
  <c r="L53" i="4"/>
  <c r="L52" i="4"/>
  <c r="L51" i="4"/>
  <c r="L50" i="4"/>
  <c r="L49" i="4"/>
  <c r="L48" i="4"/>
  <c r="B48" i="4"/>
  <c r="L47" i="4"/>
  <c r="L46" i="4"/>
  <c r="L45" i="4"/>
  <c r="L43" i="4"/>
  <c r="L42" i="4"/>
  <c r="L41" i="4"/>
  <c r="L40" i="4"/>
  <c r="L39" i="4"/>
  <c r="L38" i="4"/>
  <c r="L37" i="4"/>
  <c r="L36" i="4"/>
  <c r="L35" i="4"/>
  <c r="L34" i="4"/>
  <c r="L33" i="4"/>
  <c r="L32" i="4"/>
  <c r="L31" i="4"/>
  <c r="L30" i="4"/>
  <c r="L29" i="4"/>
  <c r="L28" i="4"/>
  <c r="L27" i="4"/>
  <c r="L26" i="4"/>
  <c r="L24" i="4"/>
  <c r="L23" i="4"/>
  <c r="L22" i="4"/>
  <c r="L21" i="4"/>
  <c r="L20" i="4"/>
  <c r="L19" i="4"/>
  <c r="L18" i="4"/>
  <c r="L17" i="4"/>
  <c r="L16" i="4"/>
  <c r="L15" i="4"/>
  <c r="L14" i="4"/>
  <c r="L13" i="4"/>
  <c r="L12" i="4"/>
  <c r="L11" i="4"/>
  <c r="L10" i="4"/>
  <c r="L9" i="4"/>
  <c r="B9" i="4"/>
  <c r="B14" i="4" s="1"/>
  <c r="B17" i="4" s="1"/>
  <c r="B19" i="4" s="1"/>
  <c r="B24" i="4" s="1"/>
  <c r="B26" i="4" s="1"/>
  <c r="B35" i="4" s="1"/>
  <c r="B37" i="4" s="1"/>
  <c r="L8" i="4"/>
  <c r="L7" i="4"/>
  <c r="B7" i="4"/>
  <c r="L6" i="4"/>
  <c r="L5" i="4"/>
</calcChain>
</file>

<file path=xl/sharedStrings.xml><?xml version="1.0" encoding="utf-8"?>
<sst xmlns="http://schemas.openxmlformats.org/spreadsheetml/2006/main" count="10274" uniqueCount="5549">
  <si>
    <t>N°</t>
  </si>
  <si>
    <t xml:space="preserve"> DATO</t>
  </si>
  <si>
    <t>FORMATO</t>
  </si>
  <si>
    <t>Archivo Texto 
Orden</t>
  </si>
  <si>
    <t>Archivo JSON -
Atributo</t>
  </si>
  <si>
    <t>M</t>
  </si>
  <si>
    <t>n4</t>
  </si>
  <si>
    <t>Fecha de emisión</t>
  </si>
  <si>
    <t>an..10</t>
  </si>
  <si>
    <t>YYYY-MM-DD</t>
  </si>
  <si>
    <t>fecEmision</t>
  </si>
  <si>
    <t>Hora de Emisión</t>
  </si>
  <si>
    <t>an..14</t>
  </si>
  <si>
    <t>HH:MM:SS</t>
  </si>
  <si>
    <t>horEmision</t>
  </si>
  <si>
    <t>C</t>
  </si>
  <si>
    <t>an10</t>
  </si>
  <si>
    <t>an1</t>
  </si>
  <si>
    <t>an..15</t>
  </si>
  <si>
    <t>an3</t>
  </si>
  <si>
    <t>an..3</t>
  </si>
  <si>
    <t>2.0</t>
  </si>
  <si>
    <t>an..23</t>
  </si>
  <si>
    <t>n(12,10)</t>
  </si>
  <si>
    <t>an..30</t>
  </si>
  <si>
    <t>an..8</t>
  </si>
  <si>
    <t>an..500</t>
  </si>
  <si>
    <t>desItem</t>
  </si>
  <si>
    <t>an..4</t>
  </si>
  <si>
    <t>an4</t>
  </si>
  <si>
    <t>an2</t>
  </si>
  <si>
    <t>an..200</t>
  </si>
  <si>
    <t>n1</t>
  </si>
  <si>
    <t>an..20</t>
  </si>
  <si>
    <t>an6</t>
  </si>
  <si>
    <t>an..100</t>
  </si>
  <si>
    <t>an..250</t>
  </si>
  <si>
    <t>an8</t>
  </si>
  <si>
    <t>hh:mm:ss</t>
  </si>
  <si>
    <t>01</t>
  </si>
  <si>
    <t>02</t>
  </si>
  <si>
    <t>03</t>
  </si>
  <si>
    <t>an..2</t>
  </si>
  <si>
    <t>nroCdpSwf</t>
  </si>
  <si>
    <t>tipCdpSwf</t>
  </si>
  <si>
    <t>Versión de la estructura del documento</t>
  </si>
  <si>
    <t>Numeracion, conformada por serie y Número correlativo</t>
  </si>
  <si>
    <t>GUIA REMISION ELECTRÓNICA REMITENTE</t>
  </si>
  <si>
    <t>NIVEL</t>
  </si>
  <si>
    <t>CONDICIÓN INFORMÁTICA</t>
  </si>
  <si>
    <t>TIPO Y LONGITUD</t>
  </si>
  <si>
    <t>TAG UBL</t>
  </si>
  <si>
    <t>VALIDACIÓN / CONDICIÓN</t>
  </si>
  <si>
    <t>TIPO DE
 RETORNO</t>
  </si>
  <si>
    <t>CODIGO RETORNO</t>
  </si>
  <si>
    <t>MENSAJE DE RETORNO</t>
  </si>
  <si>
    <t>REST o XSL</t>
  </si>
  <si>
    <t>LISTADOS</t>
  </si>
  <si>
    <t>-</t>
  </si>
  <si>
    <t>Datos de guía de remisión</t>
  </si>
  <si>
    <t>Versión del UBL</t>
  </si>
  <si>
    <t>Global</t>
  </si>
  <si>
    <t>2.1</t>
  </si>
  <si>
    <t>/DespatchAdvice/cbc:UBLVersionID</t>
  </si>
  <si>
    <t>No existe el Tag UBL o es vacío</t>
  </si>
  <si>
    <t>ERROR</t>
  </si>
  <si>
    <t>2111</t>
  </si>
  <si>
    <t>XSL</t>
  </si>
  <si>
    <t>El valor del Tag UBL es diferente a '2.1'</t>
  </si>
  <si>
    <t>2110</t>
  </si>
  <si>
    <t>/DespatchAdvice/cbc:CustomizationID</t>
  </si>
  <si>
    <t>2113</t>
  </si>
  <si>
    <t>El valor del Tag UBL es diferente a '2.0'</t>
  </si>
  <si>
    <t>2112</t>
  </si>
  <si>
    <t>an..13</t>
  </si>
  <si>
    <t>T###-NNNNNNNN</t>
  </si>
  <si>
    <t>/DespatchAdvice/cbc:ID</t>
  </si>
  <si>
    <t>El formato del Tag UBL es diferente a:
 [T][A-Z0-9]{3}-[0-9]{1,8}</t>
  </si>
  <si>
    <t>1001</t>
  </si>
  <si>
    <t>El número de serie del Tag UBL es diferente al número de serie del archivo</t>
  </si>
  <si>
    <t>1035</t>
  </si>
  <si>
    <t>El número de documento del Tag UBL es diferente al número de documento del archivo</t>
  </si>
  <si>
    <t>1036</t>
  </si>
  <si>
    <t>El valor del Tag UBL se encuentra en el listado con indicador de estado igual a 1</t>
  </si>
  <si>
    <t>1033</t>
  </si>
  <si>
    <t>REST</t>
  </si>
  <si>
    <t>Comprobantes de pago electrónico</t>
  </si>
  <si>
    <t>El valor del Tag UBL se encuentra en el listado con indicador de estado igual a 2</t>
  </si>
  <si>
    <t>1032</t>
  </si>
  <si>
    <t>/DespatchAdvice/cbc:IssueDate</t>
  </si>
  <si>
    <t>El valor del Tag UBL no cumple con el formato establecido</t>
  </si>
  <si>
    <t>3436</t>
  </si>
  <si>
    <t>La diferencia entre la fecha de recepción del XML y el valor del Tag UBL es mayor al límite del listado (1 día)</t>
  </si>
  <si>
    <t>2108</t>
  </si>
  <si>
    <t>Parámetros (004)</t>
  </si>
  <si>
    <t>El valor del Tag UBL es mayor a la fecha de recepción (TODAY) o es 12/07/2022</t>
  </si>
  <si>
    <t>2329</t>
  </si>
  <si>
    <t>Hora de emisión</t>
  </si>
  <si>
    <t>/DespatchAdvice/cbc:IssueTime</t>
  </si>
  <si>
    <t>No existe el Tag UBL</t>
  </si>
  <si>
    <t>3437</t>
  </si>
  <si>
    <t>3438</t>
  </si>
  <si>
    <t>Tipo de documento (Guia)</t>
  </si>
  <si>
    <t>"09"</t>
  </si>
  <si>
    <t>/DespatchAdvice/cbc:DespatchAdviceTypeCode</t>
  </si>
  <si>
    <t>1050</t>
  </si>
  <si>
    <t>El valor del Tag UBL es diferente a '09'</t>
  </si>
  <si>
    <t>1051</t>
  </si>
  <si>
    <t>"PE:SUNAT"</t>
  </si>
  <si>
    <t>@listAgencyName</t>
  </si>
  <si>
    <t>Si existe el atributo, el valor ingresado es diferente a 'PE:SUNAT'</t>
  </si>
  <si>
    <t>OBSERV</t>
  </si>
  <si>
    <t>4251</t>
  </si>
  <si>
    <t>"Tipo de Documento"</t>
  </si>
  <si>
    <t>@listName</t>
  </si>
  <si>
    <t>Si existe el atributo, el valor ingresado es diferente a 'Tipo de Documento'</t>
  </si>
  <si>
    <t>4252</t>
  </si>
  <si>
    <t>"urn:pe:gob:sunat:cpe:see:gem:catalogos:catalogo01"</t>
  </si>
  <si>
    <t>@listURI</t>
  </si>
  <si>
    <t>Si existe el atributo, el valor ingresado es diferente a 'urn:pe:gob:sunat:cpe:see:gem:catalogos:catalogo01'</t>
  </si>
  <si>
    <t>4253</t>
  </si>
  <si>
    <t>Observaciones (Texto)</t>
  </si>
  <si>
    <t>/DespatchAdvice/cbc:Note</t>
  </si>
  <si>
    <t>Si el Tag UBL existe, el formato del Tag UBL es diferente a alfanumérico de hasta 250 caracteres o es vacío (se considera cualquier carácter incluido espacio, no se permite ningún otro 'whitespace character': salto de línea, tab, fin de línea, etc. Tampoco se permite solo espacios en blanco)</t>
  </si>
  <si>
    <t>4186</t>
  </si>
  <si>
    <t>Datos del Remitente</t>
  </si>
  <si>
    <t>Tipo y número de documento de identidad del remitente</t>
  </si>
  <si>
    <t>"6"</t>
  </si>
  <si>
    <t>/DespatchAdvice/cac:DespatchSupplierParty/cac:Party/cac:PartyIdentification/cbc:ID@schemeID (Tipo de documento de identidad del remitente)</t>
  </si>
  <si>
    <t>No existe el atributo o es vacío</t>
  </si>
  <si>
    <t>2678</t>
  </si>
  <si>
    <t>El valor del atributo es diferente a '6'</t>
  </si>
  <si>
    <t>2511</t>
  </si>
  <si>
    <t>"Documento de Identidad"</t>
  </si>
  <si>
    <t>@schemeName</t>
  </si>
  <si>
    <t>Si existe el atributo, el valor ingresado es diferente a 'Documento de Identidad'</t>
  </si>
  <si>
    <t>4255</t>
  </si>
  <si>
    <t>@schemeAgencyName</t>
  </si>
  <si>
    <t>4256</t>
  </si>
  <si>
    <t>"urn:pe:gob:sunat:cpe:see:gem:catalogos:catalogo06"</t>
  </si>
  <si>
    <t>@schemeURI</t>
  </si>
  <si>
    <t>Si existe el atributo, el valor ingresado es diferente a 'urn:pe:gob:sunat:cpe:see:gem:catalogos:catalogo06'</t>
  </si>
  <si>
    <t>4257</t>
  </si>
  <si>
    <t>an11</t>
  </si>
  <si>
    <t>n11</t>
  </si>
  <si>
    <t>/DespatchAdvice/cac:DespatchSupplierParty/cac:Party/cac:PartyIdentification/cbc:ID (Número de documento de identidad del remitente)</t>
  </si>
  <si>
    <t xml:space="preserve">El Tag UBL es diferente al RUC del nombre del XML </t>
  </si>
  <si>
    <t>1034</t>
  </si>
  <si>
    <t>El valor del Tag UBL tiene un ind_estado diferente '00' en el listado</t>
  </si>
  <si>
    <t>2010</t>
  </si>
  <si>
    <t>Contribuyentes</t>
  </si>
  <si>
    <t>El valor del Tag UBL tiene un ind_condicion diferente a '00' en el listado</t>
  </si>
  <si>
    <t>2011</t>
  </si>
  <si>
    <t>Se encuentra afecto exclusivamente solo a los tributos Renta de primera categoría, Renta de segunda categoría o Renta de cuarta categoría (no está afecto a ningún otro tributo distinto de los indicados)</t>
  </si>
  <si>
    <t>3439</t>
  </si>
  <si>
    <t>Afectación</t>
  </si>
  <si>
    <t>Apellidos y nombres, denominación o razón social del remitente</t>
  </si>
  <si>
    <t>/DespatchAdvice/cac:DespatchSupplierParty/cac:Party/cac:PartyLegalEntity/cbc:RegistrationName</t>
  </si>
  <si>
    <t>1037</t>
  </si>
  <si>
    <t>El formato del Tag UBL es diferente a alfanumérico de hasta 250 caracteres (se considera cualquier carácter incluido espacio, no se permite ningún otro 'whitespace character': salto de línea, tab, fin de línea, etc. Tampoco se permite solo espacios en blanco)</t>
  </si>
  <si>
    <t>4338</t>
  </si>
  <si>
    <t>Entidad emisora de la autorización especial - remitente
Número de autorización especial emitido por la entidad - remitente</t>
  </si>
  <si>
    <t>an..50</t>
  </si>
  <si>
    <t>/DespatchAdvice/cac:Shipment/cac:Delivery/cac:Despatch/cac:DespatchParty/cac:AgentParty/cac:PartyLegalEntity/cbc:CompanyID (Número de autorización)</t>
  </si>
  <si>
    <t>Si el Tag UBL existe, el formato del Tag UBL es diferente a alfanumérico de 3 a 50 caracteres (se considera cualquier carácter incluido espacio, no se permite ningún otro 'whitespace character': salto de línea, tab, fin de línea, etc. Tampoco se permite solo espacios en blanco)</t>
  </si>
  <si>
    <t>4369</t>
  </si>
  <si>
    <t xml:space="preserve">Si el Tag UBL existe y es diferente de vacío, existe otro cac:PartyLegalEntity </t>
  </si>
  <si>
    <t>3353</t>
  </si>
  <si>
    <t>(Catálogo N.° D-37)</t>
  </si>
  <si>
    <t>/DespatchAdvice/cac:Shipment/cac:Delivery/cac:Despatch/cac:DespatchParty/cac:AgentParty/cac:PartyLegalEntity/cbc:CompanyID@schemeID (Código de entidad autorizadora)</t>
  </si>
  <si>
    <t>Si existe el atributo y es diferente de vacío, el valor ingresado no se encuentra en el listado</t>
  </si>
  <si>
    <t>4395</t>
  </si>
  <si>
    <t>Catálogo (D-37)</t>
  </si>
  <si>
    <t>Si existe 'Número de autorización' con valor diferente de vacío, no existe el atributo o es vacío</t>
  </si>
  <si>
    <t>4394</t>
  </si>
  <si>
    <t>Si existe el atributo y el valor ingresado es diferente de vacío, el 'Número de Autorización' es vacío</t>
  </si>
  <si>
    <t>4397</t>
  </si>
  <si>
    <t>"Entidad Autorizadora"</t>
  </si>
  <si>
    <t>Si existe el atributo, el valor ingresado es diferente a 'Entidad Autorizadora'</t>
  </si>
  <si>
    <r>
      <t xml:space="preserve">Documento relacionado - </t>
    </r>
    <r>
      <rPr>
        <b/>
        <i/>
        <sz val="9"/>
        <rFont val="Calibri"/>
        <family val="2"/>
        <scheme val="minor"/>
      </rPr>
      <t>incremental</t>
    </r>
  </si>
  <si>
    <t>Tipo de documento (Descripción)</t>
  </si>
  <si>
    <t>an..120</t>
  </si>
  <si>
    <t>/DespatchAdvice/cac:AdditionalDocumentReference/cbc:DocumentType</t>
  </si>
  <si>
    <t>Si existe  'Código del tipo de documento relacionado' y es diferente de vacío, no existe el Tag UBL o es vacío</t>
  </si>
  <si>
    <t>4371</t>
  </si>
  <si>
    <t>Si el Tag UBL existe y es diferente de vacío, no existe 'Código del tipo de documento relacionado' o es vacío</t>
  </si>
  <si>
    <t>4410</t>
  </si>
  <si>
    <t>Si el Tag UBL existe y es diferente de vacío, el formato es diferente a alfanumérico de hasta 120 caracteres (se considera cualquier carácter incluido espacio, no se permite ningún otro 'whitespace character': salto de línea, tab, fin de línea, etc. Tampoco se permite solo espacios en blanco)</t>
  </si>
  <si>
    <t>4372</t>
  </si>
  <si>
    <t>Código del tipo de documento relacionado</t>
  </si>
  <si>
    <t>(Catálogo N° 61)</t>
  </si>
  <si>
    <t>/DespatchAdvice/cac:AdditionalDocumentReference/cbc:DocumentTypeCode</t>
  </si>
  <si>
    <t>Si el Tag UBL existe y es diferente de vacío, el valor del Tag UBL no está en el listado de acuerdo al tipo de guía</t>
  </si>
  <si>
    <t>2692</t>
  </si>
  <si>
    <t>Catálogo (061)</t>
  </si>
  <si>
    <t>Si el Tag UBL existe y es diferente de vacío, el 'Número de documento relacionado' es vacío</t>
  </si>
  <si>
    <t>3403</t>
  </si>
  <si>
    <t>Si el 'Motivo de traslado' es '08' o '09' y no existe un Documento relacionado (cac:AdditionalDocumentReference) con 'Código del tipo de documento relacionado' igual a '50' o '52'</t>
  </si>
  <si>
    <t>3440</t>
  </si>
  <si>
    <t>Si el 'Motivo de traslado' es '08' o '09' y existe un Documento relacionado (cac:AdditionalDocumentReference) con 'Código del tipo de documento relacionado' diferente a '09', '49', '50', '52' y '80'</t>
  </si>
  <si>
    <t>3445</t>
  </si>
  <si>
    <t>Si el 'Motivo de traslado' diferente a '08', '09' y '13' y existe un Documento relacionado (cac:AdditionalDocumentReference) con 'Código del tipo de documento relacionado' igual a '50' o '52'</t>
  </si>
  <si>
    <t xml:space="preserve">Si el Tag UBL existe y es '49' o '80', y no existe el 'Indicador de traslado total de la DAM o la DS' (Falso), no existe ningún 'Bien a trasladar' (cac:DespatchLine) con 'Partida arancelaria' (cac:AdditionalItemProperty con cbc:NameCode igual a '7020') </t>
  </si>
  <si>
    <t>3352</t>
  </si>
  <si>
    <t>"Documento relacionado al transporte"</t>
  </si>
  <si>
    <t>Si existe el atributo, el valor ingresado es diferente a 'Documento relacionado al transporte'</t>
  </si>
  <si>
    <t>"urn:pe:gob:sunat:cpe:see:gem:catalogos:catalogo61"</t>
  </si>
  <si>
    <t>Si existe el atributo, el valor ingresado es diferente a 'urn:pe:gob:sunat:cpe:see:gem:catalogos:catalogo61'</t>
  </si>
  <si>
    <t>Número de documento relacionado</t>
  </si>
  <si>
    <t>/DespatchAdvice/cac:AdditionalDocumentReference/cbc:ID</t>
  </si>
  <si>
    <t>Si el valor del Tag UBL es diferente de vacío, el 'Código del tipo de documento relacionado' concatenado con el valor del Tag UBL se repite en el /DespatchAdvice</t>
  </si>
  <si>
    <t>3340</t>
  </si>
  <si>
    <t>Si el valor del Tag UBL es diferente de vacío, el 'Código del tipo de documento relacionado' no existe o es vacío</t>
  </si>
  <si>
    <t>3376</t>
  </si>
  <si>
    <t>Si el 'Código del tipo de documento relacionado' es '01', el formato del Tag UBL es diferente a &lt;Serie&gt;-&lt;Numero&gt; con la siguiente estructura:
- [F][A-Z0-9]{3}-[0-9]{1,8}
- (E001)-[0-9]{1,8}
- [0-9]{1,4}-[0-9]{1,8}
El campo &lt;Numero&gt; debe ser mayor a cero</t>
  </si>
  <si>
    <t>3441</t>
  </si>
  <si>
    <t>Si el 'Código del tipo de documento relacionado' es '03', el formato del Tag UBL es diferente a &lt;Serie&gt;-&lt;Numero&gt; con la siguiente estructura:
- [B][A-Z0-9]{3}-[0-9]{1,8}
- (EB01)-[0-9]{1,8}
- [0-9]{1,4}-[0-9]{1,8}
El campo &lt;Numero&gt; debe ser mayor a cero</t>
  </si>
  <si>
    <t>Si el 'Código del tipo de documento relacionado' es '04', el formato del Tag UBL es diferente a &lt;Serie&gt;-&lt;Numero&gt; con la siguiente estructura:
- [L][A-Z0-9]{3}-[0-9]{1,8}
- (E001)-[0-9]{1,8}
- [0-9]{1,4}-[0-9]{1,8}
El campo &lt;Numero&gt; debe ser mayor a cero</t>
  </si>
  <si>
    <t>Si el 'Código del tipo de documento relacionado' es '09', el formato del Tag UBL es diferente a &lt;Serie&gt;-&lt;Numero&gt; con la siguiente estructura:
- [T][A-Z0-9]{3}-[0-9]{1,8}
- (EG07)-[0-9]{1,8}
- (EG02)-[0-9]{1,8}
El campo &lt;Numero&gt; debe ser mayor a cero</t>
  </si>
  <si>
    <t>Si el 'Código del tipo de documento relacionado' es '12', el formato del Tag UBL es diferente a &lt;Serie&gt;-&lt;Numero&gt; con la siguiente estructura:
- [a-zA-Z0-9-]{1,20}-[a-zA-Z0-9-]{1,20}</t>
  </si>
  <si>
    <t>Si el 'Código del tipo de documento relacionado' es '48', el formato del Tag UBL es diferente a &lt;Serie&gt;-&lt;Numero&gt; con la siguiente estructura:
- [0-9]{1,4}-[0-9]{1,7}
El campo &lt;Numero&gt; debe ser mayor a cero</t>
  </si>
  <si>
    <t>Si el 'Código del tipo de documento relacionado' es '49', el formato del Tag UBL es diferente a numérico hasta 15 dígitos (debe ser mayor a cero)</t>
  </si>
  <si>
    <t>Si el 'Código del tipo de documento relacionado' es '80', el formato del Tag UBL es diferente a numérico hasta 15 dígitos (debe ser mayor a cero)</t>
  </si>
  <si>
    <t>Si el 'Código del tipo de documento relacionado' es '81', el formato del Tag UBL es diferente de alfanumérico de hasta 20 caracteres</t>
  </si>
  <si>
    <t>Si el 'Código del tipo de documento relacionado' es '50' o '52', el formato del Tag UBL es diferente de:
- [0-9]{3}-[0-9]{4}-[0-9]{2}-[0-9]{1,6} 
donde: [0-9]{3}: Código de la Aduana, [0-9]{4}: Año, [0-9]{2} Régimen aduanero, [0-9]{1,6} Correlativo</t>
  </si>
  <si>
    <t>Si el 'Código del tipo de documento relacionado' es '50' y el 'Motivo de traslado' es '08' el formato del Tag UBL es diferente de:
- [0-9]{3}-[0-9]{4}-10-[0-9]{1,6}</t>
  </si>
  <si>
    <t>Si el 'Código del tipo de documento relacionado' es '52' y el 'Motivo de traslado' es '08' el formato del Tag UBL es diferente de:
- [0-9]{3}-[0-9]{4}-18-[0-9]{1,6}</t>
  </si>
  <si>
    <t>Si el 'Código del tipo de documento relacionado' es '50' y el 'Motivo de traslado' es '09' el formato del Tag UBL es diferente de:
- [0-9]{3}-[0-9]{4}-40-[0-9]{1,6}</t>
  </si>
  <si>
    <t>Si el 'Código del tipo de documento relacionado' es '52' y el 'Motivo de traslado' es '09' el formato del Tag UBL es diferente de:
- [0-9]{3}-[0-9]{4}-48-[0-9]{1,6}</t>
  </si>
  <si>
    <t>Si el 'Código del tipo de documento relacionado' es "71", "72", "73", "74", "75", "76", "77" o "78", el formato del Tag UBL es diferente a alfanumérico de hasta 100 caracteres (se considera cualquier carácter, no permite 'whitespace character': espacio, salto de línea, fin de línea, tab, etc.)</t>
  </si>
  <si>
    <t xml:space="preserve">Si el 'Código de tipo de documento' es '09', el valor del Tag UBL no se encuentra en el listado con estado de 'Baja - por cambio de destinatario' 
</t>
  </si>
  <si>
    <t>2536</t>
  </si>
  <si>
    <t>Detalle Guia Remisión Electrónica</t>
  </si>
  <si>
    <t xml:space="preserve">Si el 'Código de tipo de documento' es '50' o '52', el valor del Tag UBL no se encuentra en el listado
</t>
  </si>
  <si>
    <t>3341</t>
  </si>
  <si>
    <t>Número de DAM y DS</t>
  </si>
  <si>
    <t xml:space="preserve">Si existe más de un 'Documento relacionado' con el 'Código de tipo de documento' igual a '50' o '52', y el motivo de traslado es '08', no coinciden los tipos y números de documento de identidad del importador consignados en dichos documentos.
</t>
  </si>
  <si>
    <t>3394</t>
  </si>
  <si>
    <t>Detalle de DAM y DS</t>
  </si>
  <si>
    <t xml:space="preserve">Si existe más de un 'Documento relacionado' con el 'Código de tipo de documento' igual a '50' o '52', y el motivo de traslado es '09', no coinciden los tipos y números de documento de identidad del exportador consignados en dichos documentos.
</t>
  </si>
  <si>
    <t xml:space="preserve">Si el 'Código de tipo de documento' es '49' o '80' y se encuentra referenciada en otras GRE - remitente que hayan sido emitidas por el mismo remitente en los últimos 15 días calendario contados a partir de la fecha de recepción de la GRE.
</t>
  </si>
  <si>
    <t>4432</t>
  </si>
  <si>
    <t xml:space="preserve">Si el 'Código de tipo de documento' es '49' o '80' y se encuentra referenciada en otras GRE - remitente que hayan sido emitidas por un usuario diferente al remitente o en GRE - transportista, en los últimos 15 días calendario contados a partir de la fecha de recepción de la GRE
</t>
  </si>
  <si>
    <t>3342</t>
  </si>
  <si>
    <t xml:space="preserve">REST  </t>
  </si>
  <si>
    <t>Si existe el Tag UBL y el código de tipo de documento es '49' u '80', el valor del Tag UBL no se encuentra en el listado en los últimos 15 días calendario contados a partir de la fecha de recepción de la GRE</t>
  </si>
  <si>
    <t>4404</t>
  </si>
  <si>
    <t>Constancias de depósito Detracciones / IVAP</t>
  </si>
  <si>
    <t>Si el 'Código de tipo de documento' es '01', '03' o '04' y la serie no empieza con número, el valor del Tag UBL no se encuentra en el listado para el emisor de documento</t>
  </si>
  <si>
    <t>4382</t>
  </si>
  <si>
    <t xml:space="preserve">Si el 'Código de tipo de documento' es '01', '03', '04', '09' o '48' y la serie empieza con número, el valor del Tag UBL no se encuentra en el listado para el emisor de documento
</t>
  </si>
  <si>
    <t>3207</t>
  </si>
  <si>
    <t>Autorizaciones de comprobantes físicos</t>
  </si>
  <si>
    <t>Número de RUC del emisor del documento relacionado</t>
  </si>
  <si>
    <t>/DespatchAdvice/cac:AdditionalDocumentReference/cac:IssuerParty/cac:PartyIdentification/cbc:ID (Número de documento del emisor del documento)</t>
  </si>
  <si>
    <t>Si el 'Código del tipo de documento relacionado' es '01', '03', '04', '09', '12', '48', no existe el Tag UBL o es vacío</t>
  </si>
  <si>
    <t>3380</t>
  </si>
  <si>
    <t>Si el Tag UBL existe y es diferente de vacío, y el 'Motivo de traslado' es '01', '03' y el 'Código del tipo de documento relacionado' es '01', '03', '12', el valor del Tag UBL es diferente al RUC del remitente</t>
  </si>
  <si>
    <t>3381</t>
  </si>
  <si>
    <t>Si el Tag UBL existe y es diferente de vacío y el 'Código del tipo de documento relacionado' es '09', el valor del Tag UBL es diferente al RUC del remitente</t>
  </si>
  <si>
    <t>Si el Tag UBL existe y es diferente de vacío, y el 'Motivo de traslado' es '02' y el 'Código del tipo de documento relacionado' es '04', '48' el valor del Tag UBL es diferente al RUC del remitente</t>
  </si>
  <si>
    <t>Si el Tag UBL existe y es diferente de vacío, y el 'Motivo de traslado' es '06' y el 'Código del tipo de documento relacionado' es  '01', '03', '12', el valor del Tag UBL es diferente al RUC del destinatario</t>
  </si>
  <si>
    <t>Si el Tag UBL existe y es diferente de vacío, el valor del Tag UBL es diferente de numérico de 11 dígitos</t>
  </si>
  <si>
    <t>3409</t>
  </si>
  <si>
    <t>Si el Tag UBL existe y es diferente de vacío, el valor del Tag UBL no existe en el listado</t>
  </si>
  <si>
    <t>3408</t>
  </si>
  <si>
    <t>(Catálogo N.° 06)</t>
  </si>
  <si>
    <t>/DespatchAdvice/cac:AdditionalDocumentReference/cac:IssuerParty/cac:PartyIdentification/cbc:ID@schemeID (Tipo de documento de identidad del emisor del documento relacionado)</t>
  </si>
  <si>
    <t>Si el 'Código del tipo de documento relacionado' es '01', '03', '04', '09', '12', '48', el atributo del Tag UBL no existe o es diferente a 6 (RUC)</t>
  </si>
  <si>
    <t>3382</t>
  </si>
  <si>
    <t>"urn:pe:gob:sunat:cpe:see:gem:catalogos:
catalogo06"</t>
  </si>
  <si>
    <t>Datos del Destinatario</t>
  </si>
  <si>
    <t>Tipo y número de documento de identidad del destinatario</t>
  </si>
  <si>
    <t>(Catálogo N° 06)</t>
  </si>
  <si>
    <t>/DespatchAdvice/cac:DeliveryCustomerParty/cac:Party/cac:PartyIdentification/cbc:ID@schemeID</t>
  </si>
  <si>
    <t>Si el 'Número de documento de identidad del destinatario' es diferente de vacío, no existe el atributo o es vacío</t>
  </si>
  <si>
    <t>2759</t>
  </si>
  <si>
    <t>Si el atributo existe y es diferente de vacío, el valor del Tag UBL no está en el listado</t>
  </si>
  <si>
    <t>2760</t>
  </si>
  <si>
    <t>Catálogo (006)</t>
  </si>
  <si>
    <t>Si 'Motivo de traslado' es igual a '06' o '17', el valor del atributo es diferente de '6'</t>
  </si>
  <si>
    <t>3417</t>
  </si>
  <si>
    <t>/DespatchAdvice/cac:DeliveryCustomerParty/cac:Party/cac:PartyIdentification/cbc:ID</t>
  </si>
  <si>
    <t>Si no existe el Tag UBL o es vacío</t>
  </si>
  <si>
    <t>2757</t>
  </si>
  <si>
    <t>Si 'Motivo del traslado' es '01', '03', '05', '06', '09', '14' y '17', el 'Tipo y Número de documento de identidad del destinatario' es igual al 'Tipo y Número de documento de identidad del remitente'</t>
  </si>
  <si>
    <t>2555</t>
  </si>
  <si>
    <t>Si 'Motivo del traslado' es '02', '04' y '07', el 'Tipo y Número de documento de identidad del destinatario' es diferente al 'Tipo y Número de documento de identidad del remitente'</t>
  </si>
  <si>
    <t>2554</t>
  </si>
  <si>
    <t>Si 'Motivo del traslado' es '08', el 'Número de documento de identidad del destinatario' es diferente al número de documento de identidad del importador consignados en las DAM o DS</t>
  </si>
  <si>
    <t>4435</t>
  </si>
  <si>
    <t>Si 'Tipo de documento de identidad del destinatario' es '6', el formato del Tag UBL es diferente a numérico de 11 dígitos</t>
  </si>
  <si>
    <t>2758</t>
  </si>
  <si>
    <t>Si 'Tipo de documento de identidad del destinatario' es '6', el valor del Tag UBL no se encuentra en el listado</t>
  </si>
  <si>
    <t>3443</t>
  </si>
  <si>
    <t>Si 'Tipo de documento de identidad del destinatario' es '6' (RUC), el valor del Tag UBL tiene un ind_estado diferente '00' en el listado</t>
  </si>
  <si>
    <t>4373</t>
  </si>
  <si>
    <t>Si 'Tipo de documento de identidad del destinatario' es '6' (RUC), el valor del Tag UBL tiene un ind_condicion diferente a '00' en el listado</t>
  </si>
  <si>
    <t>4374</t>
  </si>
  <si>
    <t>Si 'Tipo de documento de identidad del destinatario' es '1' y el fomato del Tag UBL es diferente a numérico de 8 dígitos</t>
  </si>
  <si>
    <t>Si 'Tipo de documento de identidad del destinatario' es '1', el valor del Tag UBL no se encuentra en base RENIEC</t>
  </si>
  <si>
    <t>3444</t>
  </si>
  <si>
    <t>Padrón RENIEC</t>
  </si>
  <si>
    <t>Si 'Tipo de documento de identidad del destinatario' es diferente a '1' y diferente de '6', el formato del Tag UBL es diferente a alfanumérico de hasta 15 caracteres (se considera cualquier carácter, no permite 'whitespace character': espacio, salto de línea, fin de línea, tab, etc.)</t>
  </si>
  <si>
    <t>Apellidos y nombres, denominación o razón social del destinatario</t>
  </si>
  <si>
    <t>/DespatchAdvice/cac:DeliveryCustomerParty/cac:Party/cac:PartyLegalEntity/cbc:RegistrationName</t>
  </si>
  <si>
    <t>2761</t>
  </si>
  <si>
    <t>Si el formato del Tag UBL es diferente a alfanumérico de hasta 250 caracteres (se considera cualquier carácter incluido espacio, no se permite ningún otro 'whitespace character': salto de línea, tab, fin de línea, etc. Tampoco se permite solo espacios en blanco)</t>
  </si>
  <si>
    <t>4152</t>
  </si>
  <si>
    <t>Datos del Proveedor</t>
  </si>
  <si>
    <t>Tipo y número de documento de identidad del proveedor</t>
  </si>
  <si>
    <t>/DespatchAdvice/cac:SellerSupplierParty/cac:Party/cac:PartyIdentification/cbc:ID@schemeID</t>
  </si>
  <si>
    <t>Si 'Motivo de traslado' es igual a '02', '07' o '13' y el 'Número de documento de identidad del proveedor' es diferente de vacío, no existe el atributo o es vacío</t>
  </si>
  <si>
    <t>2552</t>
  </si>
  <si>
    <t>Si 'Motivo de traslado' es igual a '02' y el 'Número de documento de identidad del proveedor' es diferente de vacío, el valor del atributo es diferente de '1', '4', '6'  y '7'</t>
  </si>
  <si>
    <t>3447</t>
  </si>
  <si>
    <t>Si 'Motivo de traslado' es igual a '07' y el 'Número de documento de identidad del proveedor' es diferente de vacío, el valor del atributo es diferente de '6'</t>
  </si>
  <si>
    <t>Si 'Motivo de traslado' es igual a '13', el valor del atributo es diferente de vacío y diferente al listado</t>
  </si>
  <si>
    <t>Si 'Motivo de traslado' es diferente a '02', '07' y '13', el atributo existe y es diferente de vacío</t>
  </si>
  <si>
    <t>4054</t>
  </si>
  <si>
    <t>an.15</t>
  </si>
  <si>
    <t>/DespatchAdvice/cac:SellerSupplierParty/cac:Party/cac:PartyIdentification/cbc:ID</t>
  </si>
  <si>
    <t>Si 'Motivo de traslado' es igual a '02' o '07' y no existe al menos un tag de 'Datos del Proveedor' (cac:SellerSupplierParty) con 'Número de documento de identidad del proveedor' (cac:PartyIdentification/cbc:ID) diferente de vacío</t>
  </si>
  <si>
    <t>4375</t>
  </si>
  <si>
    <t>Si 'Motivo de traslado' es '02', '07' y existe 'Documento relacionado' con  'Código del tipo de documento relacionado' igual a '01', '03' o '12', el Tag UBL existe y es diferente de vacío, y no coincide con ninguno de los 'Número de RUC del emisor del documento relacionado' de dichos documentos</t>
  </si>
  <si>
    <t>3442</t>
  </si>
  <si>
    <t>Si 'Motivo de traslado' es igual a '02', '07' o '13' y el 'Tipo de documento de identidad del proveedor' es diferente de vacío, el Tag UBL es vacío</t>
  </si>
  <si>
    <t>2723</t>
  </si>
  <si>
    <t>Si 'Motivo de traslado' es igual a '02', '07' o '13' y el campo 'Apellidos y nombres, denominacion o razon social del proveedor' existe y es diferente de vacío, el Tag UBL no existe, o es vacío</t>
  </si>
  <si>
    <t>Si 'Motivo de traslado' es diferente a '02', '07' y '13', el Tag UBL existe y es diferente de vacío</t>
  </si>
  <si>
    <t>Si 'Motivo de traslado' es '02' o '07', el Tag UBL existe y es diferente de vacío,  y el 'Tipo y Número de documento de identidad del proveedor' es igual al 'Tipo y Número de documento de identidad del remitente'</t>
  </si>
  <si>
    <t>3448</t>
  </si>
  <si>
    <t>Si 'Tipo de documento de identidad del proveedor' es '6', el formato del Tag UBL es diferente a numérico de 11 dígitos</t>
  </si>
  <si>
    <t>2724</t>
  </si>
  <si>
    <t>Si 'Tipo de documento de identidad del proveedor' es '6', el valor del Tag UBL no se encuentra en el listado</t>
  </si>
  <si>
    <t>2621</t>
  </si>
  <si>
    <t>Si 'Tipo de documento de identidad del proveedor' es '6' (RUC), el valor del Tag UBL tiene un ind_estado diferente '00' en el listado</t>
  </si>
  <si>
    <t>4051</t>
  </si>
  <si>
    <t>Si 'Tipo de documento de identidad del proveedor' es '6' (RUC), el valor del Tag UBL tiene un ind_condicion diferente a '00' en el listado</t>
  </si>
  <si>
    <t>4052</t>
  </si>
  <si>
    <t>Si 'Tipo de documento de identidad del proveedor' es '1' y el fomato del Tag UBL es diferente a numérico de 8 dígitos</t>
  </si>
  <si>
    <t>Si 'Tipo de documento de identidad del proveedor' es '1', el valor del Tag UBL no se encuentra en el listado</t>
  </si>
  <si>
    <t>2450</t>
  </si>
  <si>
    <t>Si 'Tipo de documento de identidad del proveedor' es diferente a '1', '6' y vacío, el formato del Tag UBL es diferente a alfanumérico de hasta 15 caracteres (se considera cualquier carácter, no permite 'whitespace character': espacio, salto de línea, fin de línea, tab, etc.)</t>
  </si>
  <si>
    <t>Apellidos y nombres, denominación o razón social del proveedor</t>
  </si>
  <si>
    <t>/DespatchAdvice/cac:SellerSupplierParty/cac:Party/cac:PartyLegalEntity/cbc:RegistrationName</t>
  </si>
  <si>
    <t>Si 'Motivo de traslado' es igual a '02', '07' o '13' y el 'Número de documento de identidad del proveedor' existe y es diferente de vacío, no existe el Tag UBL o es vacío</t>
  </si>
  <si>
    <t>3449</t>
  </si>
  <si>
    <t>4106</t>
  </si>
  <si>
    <t>Datos del Comprador</t>
  </si>
  <si>
    <t>Tipo y número de documento de identidad del comprador</t>
  </si>
  <si>
    <t>/DespatchAdvice/cac:BuyerCustomerParty/cac:Party/cac:PartyIdentification/cbc:ID@schemeID</t>
  </si>
  <si>
    <t>Si 'Motivo de traslado' es igual a '03' o '13' y el 'Número de documento de identidad del comprador' es diferente de vacío, no existe el atributo o es vacío</t>
  </si>
  <si>
    <t>3331</t>
  </si>
  <si>
    <t>Si 'Motivo de traslado' es igual a '03' o '13', el valor del atributo es diferente al listado y diferente de vacío</t>
  </si>
  <si>
    <t>3332</t>
  </si>
  <si>
    <t>Si 'Motivo de traslado' es diferente a '03' y '13', el atributo existe y es diferente de vacío</t>
  </si>
  <si>
    <t>4377</t>
  </si>
  <si>
    <t>/DespatchAdvice/cac:BuyerCustomerParty/cac:Party/cac:PartyIdentification/cbc:ID</t>
  </si>
  <si>
    <t>Si 'Motivo de traslado' es igual a '03' y no existe al menos un tag de 'Datos del Comprador' (cac:BuyerCustomerParty) con 'Número de documento de identidad del comprador'  diferente de vacío</t>
  </si>
  <si>
    <t>4378</t>
  </si>
  <si>
    <t>Si 'Motivo de traslado' es igual a '03' o '13' y el 'Tipo de documento de identidad del comprador' es diferente de vacío, el Tag UBL es vacío</t>
  </si>
  <si>
    <t>3333</t>
  </si>
  <si>
    <t>Si 'Motivo de traslado' es igual a '03' o '13' y el campo 'Apellidos y nombres, denominacion o razon social del comprador' existe y es diferente de vacío, el Tag UBL no existe o es vacío</t>
  </si>
  <si>
    <t>Si 'Motivo de traslado' es diferente a '03' y '13', el Tag UBL existe y es diferente de vacío</t>
  </si>
  <si>
    <t>Si 'Motivo de traslado' es '03', el Tag UBL existe y es diferente de vacío,  y el 'Tipo y Número de documento de identidad del comprador' es igual al 'Tipo y Número de documento de identidad del remitente'</t>
  </si>
  <si>
    <t>3334</t>
  </si>
  <si>
    <t>Si 'Motivo de traslado' es '03', el Tag UBL existe y es diferente de vacío,  y el 'Tipo y Número de documento de identidad del comprador' es igual al 'Tipo y Número de documento de identidad del destinatario'</t>
  </si>
  <si>
    <t>3335</t>
  </si>
  <si>
    <t>Si 'Tipo de documento de identidad del comprador' es '6', el formato del Tag UBL es diferente a numérico de 11 dígitos</t>
  </si>
  <si>
    <t>3337</t>
  </si>
  <si>
    <t>Si 'Tipo de documento de identidad del comprador' es '6', el valor del Tag UBL no se encuentra en el listado</t>
  </si>
  <si>
    <t>3336</t>
  </si>
  <si>
    <t>Si 'Tipo de documento de identidad del comprador' es '6' (RUC), el valor del Tag UBL tiene un ind_estado diferente '00' en el listado</t>
  </si>
  <si>
    <t>4379</t>
  </si>
  <si>
    <t>Si 'Tipo de documento de identidad del comprador' es '6' (RUC), el valor del Tag UBL tiene un ind_condicion diferente a '00' en el listado</t>
  </si>
  <si>
    <t>4380</t>
  </si>
  <si>
    <t>Si 'Tipo de documento de identidad del comprador' es '1' y el fomato del Tag UBL es diferente a numérico de 8 dígitos</t>
  </si>
  <si>
    <t>Si 'Tipo de documento de identidad del comprador' es '1', el valor del Tag UBL no se encuentra en el listado</t>
  </si>
  <si>
    <t>3338</t>
  </si>
  <si>
    <t>Si 'Tipo de documento de identidad del comprador' es diferente a '1', '6' y vacío, el formato del Tag UBL es diferente a alfanumérico de hasta 15 caracteres (se considera cualquier carácter, no permite 'whitespace character': espacio, salto de línea, fin de línea, tab, etc.)</t>
  </si>
  <si>
    <t>Apellidos y nombres, denominación o razón social del comprador</t>
  </si>
  <si>
    <t>/DespatchAdvice/cac:BuyerCustomerParty/cac:Party/cac:PartyLegalEntity/cbc:RegistrationName</t>
  </si>
  <si>
    <t>Si 'Motivo de traslado' es igual a '03' y el 'Número de documento de identidad del comprador' existe y es diferente de vacío, no existe el Tag UBL o es vacío</t>
  </si>
  <si>
    <t>3339</t>
  </si>
  <si>
    <t>Si el Tag UBL existe y es diferente a vacío, el formato del Tag UBL es diferente a alfanumérico de hasta 250 caracteres (se considera cualquier carácter incluido espacio, no se permite ningún otro 'whitespace character': salto de línea, tab, fin de línea, etc. Tampoco se permite solo espacios en blanco)</t>
  </si>
  <si>
    <t>4381</t>
  </si>
  <si>
    <t>Datos del envío</t>
  </si>
  <si>
    <t>Identificador del traslado</t>
  </si>
  <si>
    <t>"SUNAT_Envio"</t>
  </si>
  <si>
    <t>/DespatchAdvice/cac:Shipment/cbc:ID</t>
  </si>
  <si>
    <t>&lt;&lt;&lt; SIN VALIDACIÓN &gt;&gt;&gt;</t>
  </si>
  <si>
    <t>Motivo del traslado</t>
  </si>
  <si>
    <t>(Catálogo N.° 20)</t>
  </si>
  <si>
    <t>/DespatchAdvice/cac:Shipment/cbc:HandlingCode</t>
  </si>
  <si>
    <t>3404</t>
  </si>
  <si>
    <t>El valor del Tag UBL no está en el listado</t>
  </si>
  <si>
    <t>3405</t>
  </si>
  <si>
    <t>Catálogo (020)</t>
  </si>
  <si>
    <t>"Motivo de traslado"</t>
  </si>
  <si>
    <t>Si existe el atributo, el valor ingresado es diferente a 'Motivo de traslado'</t>
  </si>
  <si>
    <t>"urn:pe:gob:sunat:cpe:see:gem:catalogos:catalogo20"</t>
  </si>
  <si>
    <t>Si existe el atributo, el valor ingresado es diferente a 'urn:pe:gob:sunat:cpe:see:gem:catalogos:catalogo20'</t>
  </si>
  <si>
    <t>Descripción de motivo de traslado</t>
  </si>
  <si>
    <t>/DespatchAdvice/cac:Shipment/cbc:HandlingInstructions</t>
  </si>
  <si>
    <t>Si 'Motivo de traslado' es '13', no existe el Tag UBL o es vacío</t>
  </si>
  <si>
    <t>3457</t>
  </si>
  <si>
    <t>Si 'Motivo de traslado' es '13', el formato del Tag UBL es diferente a alfanumérico de 3 hasta 100 caracteres (se considera cualquier carácter incluido espacio, no se permite ningún otro 'whitespace character': salto de línea, tab, fin de línea, etc.)</t>
  </si>
  <si>
    <t>4190</t>
  </si>
  <si>
    <t>Si 'Motivo de traslado' es '13', el formato del Tag UBL no contiene como mínimo 3 caracteres alfabéticos</t>
  </si>
  <si>
    <t>Si 'Motivo de traslado' es '13', el valor del Tag UBL contiene solo palabras claves del listado</t>
  </si>
  <si>
    <t>Palabras Clave</t>
  </si>
  <si>
    <t>Peso bruto total de los ítems seleccionados (en KGM)
Unidad de medida del peso bruto total de los items seleccionados</t>
  </si>
  <si>
    <t>an..16</t>
  </si>
  <si>
    <t>n(12,3) </t>
  </si>
  <si>
    <t>/DespatchAdvice/cac:Shipment/cbc:NetWeightMeasure</t>
  </si>
  <si>
    <t>Si el 'Motivo de traslado' es '08' o '09' y no existe el 'Indicador de traslado total de la DAM o la DS' (Falso), no existe el Tag UBL</t>
  </si>
  <si>
    <t>4383</t>
  </si>
  <si>
    <t>Si el 'Motivo de traslado' es diferente a '08' y '09', existe el Tag UBL</t>
  </si>
  <si>
    <t>3395</t>
  </si>
  <si>
    <t>El formato del Tag UBL es diferente a decimal positivo de 12 enteros y 3 decimales</t>
  </si>
  <si>
    <t>3397</t>
  </si>
  <si>
    <t xml:space="preserve">(Catálogo N.° 03)
"KGM" Kilogramos
</t>
  </si>
  <si>
    <t>/DespatchAdvice/cac:Shipment/cbc:NetWeightMeasure@unitCode</t>
  </si>
  <si>
    <t>El valor del atributo es diferente 'KGM'</t>
  </si>
  <si>
    <t>3398</t>
  </si>
  <si>
    <t>Sustento de la diferencia del Peso bruto total de la carga respecto al peso de los ítems seleccionados</t>
  </si>
  <si>
    <t>/DespatchAdvice/cac:Shipment/cbc:Information</t>
  </si>
  <si>
    <t>Si el 'Motivo de traslado' es '08' o '09' y no existe el 'Indicador de traslado total de la DAM o la DS' (Falso), no existe el Tag UBL o es vacío</t>
  </si>
  <si>
    <t>4387</t>
  </si>
  <si>
    <t>3418</t>
  </si>
  <si>
    <t>Si el Tag UBL existe, el formato del Tag UBL es diferente a alfanumérico de hasta 250 caracteres (se considera cualquier carácter incluido espacio, no se permite ningún otro 'whitespace character': salto de línea, tab, fin de línea, etc. Tampoco se permite solo espacios en blanco)</t>
  </si>
  <si>
    <t>4428</t>
  </si>
  <si>
    <t>Peso bruto total de la carga
Unidad de medida del peso bruto</t>
  </si>
  <si>
    <t>/DespatchAdvice/cac:Shipment/cbc:GrossWeightMeasure</t>
  </si>
  <si>
    <t>2880</t>
  </si>
  <si>
    <t>2523</t>
  </si>
  <si>
    <t>(Catálogo N.° 03)
"KGM" Kilogramos
"TNE" Toneladas</t>
  </si>
  <si>
    <t>/DespatchAdvice/cac:Shipment/cbc:GrossWeightMeasure@unitCode</t>
  </si>
  <si>
    <t>El valor del atributo es vacío</t>
  </si>
  <si>
    <t>2881</t>
  </si>
  <si>
    <t>El valor del atributo es diferente 'KGM' y diferente de 'TNE'</t>
  </si>
  <si>
    <t>Número de Bultos o Pallets</t>
  </si>
  <si>
    <t>an..6</t>
  </si>
  <si>
    <t>n..6</t>
  </si>
  <si>
    <t>/DespatchAdvice/cac:Shipment/cbc:TotalTransportHandlingUnitQuantity</t>
  </si>
  <si>
    <t>Si el 'Motivo de traslado' es '08' o '09', y no existe algún 'Número de contenedor' (cac:Package con cbc:ID diferente de vacío), no existe el Tag UBL</t>
  </si>
  <si>
    <t>3419</t>
  </si>
  <si>
    <t>El formato del Tag UBL es diferente a numérico de hasta 6 dígitos</t>
  </si>
  <si>
    <t>4384</t>
  </si>
  <si>
    <t>Número de contenedor 1</t>
  </si>
  <si>
    <t>an..11</t>
  </si>
  <si>
    <t>/DespatchAdvice/cac:Shipment/cac:TransportHandlingUnit/cac:Package/cbc:ID</t>
  </si>
  <si>
    <t xml:space="preserve">Si el 'Motivo de traslado' es '08' o '09', y existe más de dos contenedores (cac:Package con cbc:ID diferente de vacío) </t>
  </si>
  <si>
    <t>3420</t>
  </si>
  <si>
    <t xml:space="preserve">Si existe más de un contenedor (cac:Package con cbc:ID diferente de vacío)
 con el mismo valor del 'Número de contenedor' (se repite el Tag cbc:ID) </t>
  </si>
  <si>
    <t>3421</t>
  </si>
  <si>
    <t>El formato del Tag UBL es diferente a alfanumérico de hasta 11 caracteres</t>
  </si>
  <si>
    <t>4071</t>
  </si>
  <si>
    <t>Número de precinto 1</t>
  </si>
  <si>
    <t>/DespatchAdvice/cac:Shipment/cac:TransportHandlingUnit/cac:Package/cbc:TraceID</t>
  </si>
  <si>
    <t>Si el 'Motivo de traslado' es '08' o '09', 'Número de contenedor 1' existe y es diferente de vacío, no existe el Tag UBL o es vacío</t>
  </si>
  <si>
    <t>3422</t>
  </si>
  <si>
    <t xml:space="preserve">Si existe más de un contenedor (cac:Package con cbc:ID diferente de vacío)
 con el mismo valor del 'Número de precinto' (se repite el Tag cbc:TraceID) </t>
  </si>
  <si>
    <t>3423</t>
  </si>
  <si>
    <t>Si el 'Motivo de traslado' es '08' o '09', el formato del Tag UBL es diferente a alfanumérico de hasta 20 dígitos (solo se permiten letras y números, no acepta solamente ceros)</t>
  </si>
  <si>
    <t>4074</t>
  </si>
  <si>
    <t>Número de contenedor 2</t>
  </si>
  <si>
    <t>Número de precinto 2</t>
  </si>
  <si>
    <t>Si el 'Motivo de traslado' es '08' o '09', 'Número de contenedor 2' existe y es diferente de vacío, no existe el Tag UBL o es vacío</t>
  </si>
  <si>
    <t>Modalidad de traslado</t>
  </si>
  <si>
    <t>(Catálogo N.° 18)</t>
  </si>
  <si>
    <t>/DespatchAdvice/cac:Shipment/cac:ShipmentStage/cbc:TransportModeCode</t>
  </si>
  <si>
    <t>2532</t>
  </si>
  <si>
    <t>2773</t>
  </si>
  <si>
    <t>Catálogo (018)</t>
  </si>
  <si>
    <t>"Modalidad de traslado"</t>
  </si>
  <si>
    <t>Si existe el atributo, el valor ingresado es diferente a 'Modalidad de traslado'</t>
  </si>
  <si>
    <t>"urn:pe:gob:sunat:cpe:see:gem:catalogos:catalogo18"</t>
  </si>
  <si>
    <t>Si existe el atributo, el valor ingresado es diferente a 'urn:pe:gob:sunat:cpe:see:gem:catalogos:catalogo18'</t>
  </si>
  <si>
    <t>Fecha Inicio de traslado</t>
  </si>
  <si>
    <t>/DespatchAdvice/cac:Shipment/cac:ShipmentStage/cac:TransitPeriod/cbc:StartDate</t>
  </si>
  <si>
    <t>Si la 'Modalidad de traslado' es '02', el Tag UBL no existe</t>
  </si>
  <si>
    <t>3406</t>
  </si>
  <si>
    <t>Si la 'Modalidad de traslado' es '01' y existe el 'Indicador de traslado en vehículos de categoría M1 o L' (verdadero), el Tag UBL no existe</t>
  </si>
  <si>
    <t>Si la 'Modalidad de traslado' es '01' y el 'Indicador de traslado en vehículos de categoría M1 o L' no existe (Falso) y el 'Indicador de registro de vehículos y conductores del transportista' existe (Verdadero), el Tag UBL no existe</t>
  </si>
  <si>
    <t>Si la 'Modalidad de traslado' es '02', el valor del Tag UBL es menor a la 'Fecha de emisión' (cbc:IssueDate)</t>
  </si>
  <si>
    <t>3343</t>
  </si>
  <si>
    <t>Si la 'Modalidad de traslado' es '01' y existe el 'Indicador de traslado en vehículos de categoría M1 o L' (verdadero), el valor del Tag UBL es menor a la 'Fecha de emisión' (cbc:IssueDate)</t>
  </si>
  <si>
    <t>Si la 'Modalidad de traslado' es '01' y el 'Indicador de traslado en vehículos de categoría M1 o L' no existe (Falso) y el 'Indicador de registro de vehículos y conductores del transportista' existe (Verdadero), el valor del Tag UBL es menor a la 'Fecha de emisión' (cbc:IssueDate)</t>
  </si>
  <si>
    <t>Si la 'Modalidad de traslado' es '02', el Tag UBL no cumple con el formato</t>
  </si>
  <si>
    <t>3407</t>
  </si>
  <si>
    <t>Si la 'Modalidad de traslado' es '01' y existe el 'Indicador de traslado en vehículos de categoría M1 o L' (verdadero), el formato del Tag UBL es diferente de 'YYYY-MM-DD'</t>
  </si>
  <si>
    <t>Si la 'Modalidad de traslado' es '01' y el 'Indicador de traslado en vehículos de categoría M1 o L' no existe (Falso) y el 'Indicador de registro de vehículos y conductores del transportista' existe (Verdadero), el formato del Tag UBL es diferente de 'YYYY-MM-DD'</t>
  </si>
  <si>
    <t>Fecha de entrega de bienes al transportista</t>
  </si>
  <si>
    <t>Si la 'Modalidad de traslado' es '01' y el 'Indicador de traslado en vehículos de categoría M1 o L' no existe (Falso) y el 'Indicador de registro de vehículos y conductores del transportista' no existe (Falso), el Tag UBL no existe</t>
  </si>
  <si>
    <t>4385</t>
  </si>
  <si>
    <t>Si la 'Modalidad de traslado' es '01' y el 'Indicador de traslado en vehículos de categoría M1 o L' no existe (Falso) y el 'Indicador de registro de vehículos y conductores del transportista' no existe (Falso), el valor del Tag UBL es menor a la 'Fecha de emisión' (cbc:IssueDate)</t>
  </si>
  <si>
    <t>4386</t>
  </si>
  <si>
    <t>Si la 'Modalidad de traslado' es '01' y el 'Indicador de traslado en vehículos de categoría M1 o L' no existe (Falso) y el 'Indicador de registro de vehículos y conductores del transportista' no existe (Falso) el formato del Tag UBL es diferente de 'YYYY-MM-DD'</t>
  </si>
  <si>
    <t>Indicador de Transbordo Programado</t>
  </si>
  <si>
    <t>"SUNAT_Envio_IndicadorTransbordoProgramado"</t>
  </si>
  <si>
    <t>/DespatchAdvice/cac:Shipment/cbc:SpecialInstructions</t>
  </si>
  <si>
    <t xml:space="preserve">Si existe el Tag UBL y las 6 primeras posiciones es "SUNAT_", el valor del Tag UBL es diferente de alguno de los siguientes valores:
SUNAT_Envio_IndicadorTransbordoProgramado
SUNAT_Envio_IndicadorTrasladoVehiculoM1L
SUNAT_Envio_IndicadorRetornoVehiculoEnvaseVacio
SUNAT_Envio_IndicadorRetornoVehiculoVacio
SUNAT_Envio_IndicadorTrasladoTotalDAMoDS
SUNAT_Envio_IndicadorVehiculoConductoresTransp
</t>
  </si>
  <si>
    <t>3388</t>
  </si>
  <si>
    <t>Existe más de un Tag UBL con valor "SUNAT_Envio_IndicadorTransbordoProgramado"</t>
  </si>
  <si>
    <t>3344</t>
  </si>
  <si>
    <t>Indicador de traslado en vehículos de categoría M1 o L</t>
  </si>
  <si>
    <t>"SUNAT_Envio_IndicadorTrasladoVehiculoM1L"</t>
  </si>
  <si>
    <t>Existe más de un Tag UBL con valor "SUNAT_Envio_IndicadorTrasladoVehiculoM1L"</t>
  </si>
  <si>
    <t>Indicador de retorno de vehículo con envases o embalajes vacíos</t>
  </si>
  <si>
    <t>"SUNAT_Envio_IndicadorRetornoVehiculoEnvaseVacio"</t>
  </si>
  <si>
    <t>Existe más de un Tag UBL con valor "SUNAT_Envio_IndicadorRetornoVehiculoEnvaseVacio"</t>
  </si>
  <si>
    <t>Indicador de retorno de vehículo vacío</t>
  </si>
  <si>
    <t>"SUNAT_Envio_IndicadorRetornoVehiculoVacio"</t>
  </si>
  <si>
    <t>Existe más de un Tag UBL con valor "SUNAT_Envio_IndicadorRetornoVehiculoVacio"</t>
  </si>
  <si>
    <t>Indicador de traslado total de la DAM o la DS</t>
  </si>
  <si>
    <t>"SUNAT_Envio_IndicadorTrasladoTotalDAMoDS"</t>
  </si>
  <si>
    <t>Si 'Motivo de traslado' es diferente de '08' Importación y '09' Exportación, y existe un Tag UBL con valor "SUNAT_Envio_IndicadorTrasladoTotalDAMoDS"</t>
  </si>
  <si>
    <t>3392</t>
  </si>
  <si>
    <t>Existe más de un Tag UBL con valor "SUNAT_Envio_IndicadorTrasladoTotalDAMoDS"</t>
  </si>
  <si>
    <t>Si no existe el Tag UBL y 'Motivo de traslado' es '08'</t>
  </si>
  <si>
    <t>4437</t>
  </si>
  <si>
    <r>
      <t>Indicador de registro de vehículos y conductores del transportista</t>
    </r>
    <r>
      <rPr>
        <i/>
        <sz val="9"/>
        <rFont val="Calibri"/>
        <family val="2"/>
        <scheme val="minor"/>
      </rPr>
      <t xml:space="preserve"> (de acuerdo con el último párrafo del numeral 3.1. del artículo 3) de la RS N° 255-2015-SUNAT)</t>
    </r>
  </si>
  <si>
    <t>"SUNAT_Envio_IndicadorVehiculoConductoresTransp"</t>
  </si>
  <si>
    <t>Si 'Modalidad de traslado' es '02' y existe un Tag UBL con valor "SUNAT_Envio_IndicadorVehiculoConductoresTransp"</t>
  </si>
  <si>
    <t>3450</t>
  </si>
  <si>
    <t>Si 'Modalidad de traslado' es '01', existe un Tag UBL con valor "SUNAT_Envio_IndicadorTrasladoVehiculoM1L" y existe un Tag UBL con valor "SUNAT_Envio_IndicadorVehiculoConductoresTransp"</t>
  </si>
  <si>
    <t>3451</t>
  </si>
  <si>
    <t>Existe más de un Tag UBL con valor "SUNAT_Envio_IndicadorVehiculoConductoresTransp"</t>
  </si>
  <si>
    <t>Tipo de evento</t>
  </si>
  <si>
    <t>1-Transbordo no programado
2-Imposibilidad arribo
3-Imposibilidad entrega</t>
  </si>
  <si>
    <t>/DespatchAdvice/cac:Shipment/cac:ShipmentStage/cac:TransportEvent/cbc:TransportEventTypeCode</t>
  </si>
  <si>
    <t>Si existe el Tag UBL y es diferente de vacío
Nota: Este Tag es de uso exclusivo cuando se trata de una 'Guía por eventos', y no debe ser enviado</t>
  </si>
  <si>
    <t>3374</t>
  </si>
  <si>
    <t>Datos del Transportista</t>
  </si>
  <si>
    <t>Número de RUC transportista</t>
  </si>
  <si>
    <t>/DespatchAdvice/cac:Shipment/cac:ShipmentStage/cac:CarrierParty/cac:PartyIdentification/cbc:ID@schemeID (Tipo de documento de identidad)</t>
  </si>
  <si>
    <t>Si 'Modalidad de traslado' es '01' y el 'Indicador de traslado en vehículos de categoría M1 o L' no existe (Falso), no existe el atributo o es vacío</t>
  </si>
  <si>
    <t>2561</t>
  </si>
  <si>
    <t>Si 'Modalidad de traslado' es '01' y el 'Indicador de traslado en vehículos de categoría M1 o L' no existe (Falso), el valor del atributo es diferente a '6'</t>
  </si>
  <si>
    <t>2485</t>
  </si>
  <si>
    <t>Si 'Modalidad de traslado' es '02', el valor del atributo existe y es diferente de vacío</t>
  </si>
  <si>
    <t>3347</t>
  </si>
  <si>
    <t>/DespatchAdvice/cac:Shipment/cac:ShipmentStage/cac:CarrierParty/cac:PartyIdentification/cbc:ID (Número de RUC)</t>
  </si>
  <si>
    <t>Si 'Modalidad de traslado' es '01' y el 'Indicador de traslado en vehículos de categoría M1 o L' no existe (Falso), no existe el Tag UBL o es vacío</t>
  </si>
  <si>
    <t>2558</t>
  </si>
  <si>
    <t>Si 'Modalidad de traslado' es '01' y el 'Indicador de traslado en vehículos de categoría M1 o L' no existe (Falso), el valor del Tag UBL no existe en el listado</t>
  </si>
  <si>
    <t>3348</t>
  </si>
  <si>
    <t>Si 'Modalidad de traslado' es '01' y el 'Indicador de traslado en vehículos de categoría M1 o L' no existe (Falso), el valor del Tag UBL tiene un ind_estado diferente '00' en el listado</t>
  </si>
  <si>
    <t>3349</t>
  </si>
  <si>
    <t>Si 'Modalidad de traslado' es '01' y el 'Indicador de traslado en vehículos de categoría M1 o L' no existe (Falso), el valor del Tag UBL tiene un ind_condicion diferente a '00' en el listado</t>
  </si>
  <si>
    <t>3350</t>
  </si>
  <si>
    <t xml:space="preserve">Si 'Modalidad de traslado' es '01' y el 'Indicador de traslado en vehículos de categoría M1 o L' no existe (Falso), se encuentra afecto exclusivamente solo a los tributos Renta de primera categoría, Renta de segunda categoría o Renta de cuarta categoría (no está afecto a ningún otro tributo distinto de los indicados)
</t>
  </si>
  <si>
    <t>3351</t>
  </si>
  <si>
    <t>Si 'Modalidad de traslado' es '01' y el 'Indicador de traslado en vehículos de categoría M1 o L' no existe (Falso), el tipo y número de documento de identidad del transportista es el mismo que el remitente</t>
  </si>
  <si>
    <t>2560</t>
  </si>
  <si>
    <t>Si el Tag UBL existe y la 'Modalidad de traslado' es '02', el valor del Tag UBL es diferente de vacío</t>
  </si>
  <si>
    <t>Apellidos y Nombres o denominación o razón social del transportista</t>
  </si>
  <si>
    <t>/DespatchAdvice/cac:Shipment/cac:ShipmentStage/cac:CarrierParty/cac:PartyLegalEntity/cbc:RegistrationName</t>
  </si>
  <si>
    <t>Si 'Modalidad de traslado' es '01' y el el 'Indicador de traslado en vehículos de categoría M1 o L' no existe (Falso), no existe el Tag UBL o es vacío</t>
  </si>
  <si>
    <t>2563</t>
  </si>
  <si>
    <t>Si 'Modalidad de traslado' es '01', y el 'Indicador de traslado en vehículos de categoría M1 o L' no existe (Falso), el formato del Tag UBL es diferente a alfanumérico de 3 hasta 250 caracteres (se considera cualquier carácter incluido espacio, no se permite ningún otro 'whitespace character': salto de línea, tab, fin de línea, etc. Tampoco se permite solo espacios en blanco)</t>
  </si>
  <si>
    <t>4165</t>
  </si>
  <si>
    <t>Número de Registro MTC</t>
  </si>
  <si>
    <t xml:space="preserve">an..20
</t>
  </si>
  <si>
    <t>/DespatchAdvice/cac:Shipment/cac:ShipmentStage/cac:CarrierParty/cac:PartyLegalEntity/cbc:CompanyID (Número de Registro)</t>
  </si>
  <si>
    <t>Si 'Modalidad de traslado' es '01' y el el 'Indicador de traslado en vehículos de categoría M1 o L' no existe (Falso), no existe el Tag UBL</t>
  </si>
  <si>
    <t>4391</t>
  </si>
  <si>
    <t>Si el Tag UBL existe, y la 'Modalidad de traslado' es '01', y el 'Indicador de traslado en vehículos de categoría M1 o L' no existe (Falso), el valor del Tag UBL es vacío</t>
  </si>
  <si>
    <t>Si el Tag UBL existe y es diferente de vacío, y la 'Modalidad de traslado' es '01' y el 'Indicador de traslado en vehículos de categoría M1 o L' no existe (Falso), el formato del Tag UBL es diferente a alfanumérico de hasta 20 caracteres (solo se permite letras y números, no se permite ningún otro 'whitespace character': espacio, salto de línea, tab, fin de línea, etc. Tampoco se permite solamente ceros)</t>
  </si>
  <si>
    <t>4392</t>
  </si>
  <si>
    <t xml:space="preserve">Si el Tag UBL existe y es diferente de vacío, el valor del Tag UBL no se encuentra en el listado
</t>
  </si>
  <si>
    <t>4393</t>
  </si>
  <si>
    <t>Información de Registro MTC</t>
  </si>
  <si>
    <t>Si el Tag UBL existe y es diferente de vacío, existe otro cac:PartyLegalEntity</t>
  </si>
  <si>
    <t>Entidad emisora de la autorización especial - transportista
Número de autorización especial emitido por la entidad - transportista</t>
  </si>
  <si>
    <t>/DespatchAdvice/cac:Shipment/cac:ShipmentStage/cac:CarrierParty/cac:AgentParty/cac:PartyLegalEntity/cbc:CompanyID (Número de autorización)</t>
  </si>
  <si>
    <t>Si el Tag UBL existe y es diferente de vacío, el formato del Tag UBL es diferente a alfanumérico de 3 hasta 50 caracteres (se considera cualquier carácter incluido espacio, no se permite ningún otro 'whitespace character': salto de línea, tab, fin de línea, etc. Tampoco se permite solo espacios en blanco)</t>
  </si>
  <si>
    <t>4396</t>
  </si>
  <si>
    <t>/DespatchAdvice/cac:Shipment/cac:ShipmentStage/cac:CarrierParty/cac:AgentParty/cac:PartyLegalEntity/cbc:CompanyID@schemeID (Código de entidad autorizadora)</t>
  </si>
  <si>
    <t>Si existe el atributo, el valor ingresado no se encuentra en el listado y es diferente de vacío</t>
  </si>
  <si>
    <t>Si existe el atributo y es diferente de vacío, el 'Número de Autorización' es vacío</t>
  </si>
  <si>
    <t>Vehiculo Principal</t>
  </si>
  <si>
    <t>Número de placa del vehículo</t>
  </si>
  <si>
    <t>/DespatchAdvice/cac:Shipment/cac:TransportHandlingUnit/cac:TransportEquipment/cbc:ID</t>
  </si>
  <si>
    <t>Si 'Modalidad de traslado' es igual a '02' y el 'Indicador de traslado en vehículos de categoría M1 o L' no existe (Falso), el Tag UBL no existe o está vacío</t>
  </si>
  <si>
    <t>2566</t>
  </si>
  <si>
    <t>Si 'Modalidad de traslado' es igual a '01', el 'Indicador de traslado en vehículos de categoría M1 o L' no existe (Falso), el 'Indicador de registro de vehículos y conductores del transportista' no existe (Falso), el Tag UBL existe y es diferente de vacío</t>
  </si>
  <si>
    <t>3354</t>
  </si>
  <si>
    <t>Si 'Modalidad de traslado' es igual a '01', el 'Indicador de traslado en vehículos de categoría M1 o L' no existe (Falso), el 'Indicador de registro de vehículos y conductores del transportista' existe (Verdadero), el Tag UBL no existe o está vacío</t>
  </si>
  <si>
    <t xml:space="preserve">Si el Tag UBL existe y es diferente de vacío, el formato del Tag UBL es diferente a alfanumérico de 6 a 8 caracteres (solo se permiten letras y números, no espacios en blanco ni guion, tampoco se permite solamente ceros) </t>
  </si>
  <si>
    <t>2567</t>
  </si>
  <si>
    <t>Si el Tag UBL existe y es diferente de vacío, el valor del Tag UBL no se encuentra en el listado</t>
  </si>
  <si>
    <t>4398</t>
  </si>
  <si>
    <t>Placas del MTC</t>
  </si>
  <si>
    <t>Tarjeta Única de Circulación Electrónica o Certificado de Habilitación vehicular</t>
  </si>
  <si>
    <t>/DespatchAdvice/cac:Shipment/cac:TransportHandlingUnit/cac:TransportEquipment/cac:ApplicableTransportMeans/cbc:RegistrationNationalityID</t>
  </si>
  <si>
    <t>Si 'Modalidad de traslado' es '01', el 'Indicador de traslado en vehículos de categoría M1 o L' no existe (Falso), el 'Indicador de registro de vehículos y conductores del transportista' existe (Verdadero), no existe el Tag UBL o es vacío</t>
  </si>
  <si>
    <t>4399</t>
  </si>
  <si>
    <t>Si 'Indicador de registro de vehículos y conductores del transportista' no existe (Falso), el Tag UBL existe y es diferente de vacío</t>
  </si>
  <si>
    <t>3452</t>
  </si>
  <si>
    <t>Si el Tag UBL existe y es diferente de vacío, el formato del Tag UBL es diferente a alfanumérico de 10 a 15  caracteres (solo se permite letras y números, no se permite ningún otro 'whitespace character': espacio, salto de línea, tab, fin de línea, etc., tampoco se permite solamente ceros)</t>
  </si>
  <si>
    <t>3355</t>
  </si>
  <si>
    <t>4400</t>
  </si>
  <si>
    <t>Entidad emisora de la autorización especial - vehículo principal
Número de autorización especial del vehículo emitido por la entidad - vehículo principal</t>
  </si>
  <si>
    <t>/DespatchAdvice/cac:Shipment/cac:TransportHandlingUnit/cac:TransportEquipment/cac:ShipmentDocumentReference/cbc:ID (Número de autorización)</t>
  </si>
  <si>
    <t>Si 'Indicador de traslado en vehículos de categoría M1 o L'  existe (Verdadero), el Tag UBL existe y es diferente de vacío</t>
  </si>
  <si>
    <t>Si  'Modalidad de traslado' es '01', 'Indicador de traslado en vehículos de categoría M1 o L'  no existe (Falso), el 'Indicador de registro de vehículos y conductores del transportista' no existe (Falso), el Tag UBL existe y es diferente de vacío</t>
  </si>
  <si>
    <t>4406</t>
  </si>
  <si>
    <t xml:space="preserve">Si el Tag UBL existe y es diferente de vacío, existe otro cac:ShipmentDocumentReference </t>
  </si>
  <si>
    <t>3356</t>
  </si>
  <si>
    <t>/DespatchAdvice/cac:Shipment/cac:TransportHandlingUnit/cac:TransportEquipment/cac:ShipmentDocumentReference/cbc:ID@schemeID (Código de entidad emisora)</t>
  </si>
  <si>
    <t>4403</t>
  </si>
  <si>
    <t>4407</t>
  </si>
  <si>
    <t>Si existe el atributo y es diferente de vacío, el 'Número de autorización' es vacío</t>
  </si>
  <si>
    <t>4405</t>
  </si>
  <si>
    <r>
      <t xml:space="preserve">Vehiculos Secundarios </t>
    </r>
    <r>
      <rPr>
        <b/>
        <i/>
        <sz val="9"/>
        <rFont val="Calibri"/>
        <family val="2"/>
        <scheme val="minor"/>
      </rPr>
      <t>Incremental hasta 2</t>
    </r>
  </si>
  <si>
    <t>/DespatchAdvice/cac:Shipment/cac:TransportHandlingUnit/cac:TransportEquipment/cac:AttachedTransportEquipment/cbc:ID</t>
  </si>
  <si>
    <t xml:space="preserve">Existe más de dos vehículos secundarios (cac:AttachedTransportEquipment) </t>
  </si>
  <si>
    <t>4389</t>
  </si>
  <si>
    <t>3453</t>
  </si>
  <si>
    <t xml:space="preserve">/DespatchAdvice/cac:Shipment/cac:TransportHandlingUnit/cac:TransportEquipment/cac:AttachedTransportEquipment/cac:ApplicableTransportMeans/cbc:RegistrationNationalityID (Número de documento)
</t>
  </si>
  <si>
    <t>Si la 'Modalidad de traslado' es '01', y el 'Indicador de traslado en vehículos de categoría M1 o L' no existe (Falso), y el 'Indicador de registro de vehículos y conductores del transportista' existe (Verdadero), y existe 'Número de placa del vehículo secundario' diferente de vacío, el Tag UBL no existe o es vacío</t>
  </si>
  <si>
    <t>3454</t>
  </si>
  <si>
    <t>Si existe el Tag UBL y es diferente de vacío, el formato del Tag UBL es diferente a alfanumérico de 10 a 15  caracteres (solo se permite letras y números, no se permite ningún otro 'whitespace character': espacio, salto de línea, tab, fin de línea, etc., tampoco se permite solamente ceros)</t>
  </si>
  <si>
    <t>Entidad emisora de la autorización especial - vehículo secundario
Número de autorización especial del vehículo emitido por la entidad - vehículo secundario</t>
  </si>
  <si>
    <t xml:space="preserve">/DespatchAdvice/cac:Shipment/cac:TransportHandlingUnit/cac:TransportEquipment/cac:AttachedTransportEquipment/cac:ShipmentDocumentReference/cbc:ID (Número de autorización)
</t>
  </si>
  <si>
    <t>Si el Tag UBL existe y es diferente de vacío, existe otro cac:ShipmentDocumentReference</t>
  </si>
  <si>
    <t>/DespatchAdvice/cac:Shipment/cac:TransportHandlingUnit/cac:TransportEquipment/cac:AttachedTransportEquipment/cac:ShipmentDocumentReference/cbc:ID@schemeID (Código de entidad emisora)</t>
  </si>
  <si>
    <t>Conductor principal</t>
  </si>
  <si>
    <t>Tipo de Conductor</t>
  </si>
  <si>
    <t>an9</t>
  </si>
  <si>
    <t>'Principal'</t>
  </si>
  <si>
    <t>/DespatchAdvice/cac:Shipment/cac:ShipmentStage/cac:DriverPerson/cbc:JobTitle</t>
  </si>
  <si>
    <t>Si 'Modalidad de traslado' es '02' y el 'Indicador de traslados de vehículos de la categoría M1 o L' no existe (Falso), no existe un tag cac:DriverPerson con 'Tipo de Conductor' igual a 'Principal'</t>
  </si>
  <si>
    <t>3357</t>
  </si>
  <si>
    <t>Si 'Modalidad de traslado' es '01' y el 'Indicador de traslados de vehículos de la categoría M1 o L' no existe (Falso) y el 'Indicador de registro de vehículos y conductores del transportista' existe (Verdadero), no existe un tag cac:DriverPerson con 'Tipo de Conductor' igual a 'Principal'</t>
  </si>
  <si>
    <t>Existe más de un tag cac:DriverPerson con 'Tipo de Conductor' igual a 'Principal'</t>
  </si>
  <si>
    <t>3358</t>
  </si>
  <si>
    <t>Tipo y número de documento de identidad del conductor</t>
  </si>
  <si>
    <t>/DespatchAdvice/cac:Shipment/cac:ShipmentStage/cac:DriverPerson/cbc:ID@schemeID</t>
  </si>
  <si>
    <r>
      <t>Si el 'Tipo de Conductor' es igual a 'Principal' y</t>
    </r>
    <r>
      <rPr>
        <b/>
        <sz val="9"/>
        <rFont val="Calibri"/>
        <family val="2"/>
        <scheme val="minor"/>
      </rPr>
      <t xml:space="preserve"> </t>
    </r>
    <r>
      <rPr>
        <sz val="9"/>
        <rFont val="Calibri"/>
        <family val="2"/>
        <scheme val="minor"/>
      </rPr>
      <t>la 'Modalidad de traslado' es '02' y el 'Indicador de traslados de vehículos de la categoría M1 o L' no existe (Falso), el atributo no existe o es vacío</t>
    </r>
  </si>
  <si>
    <t>2570</t>
  </si>
  <si>
    <t>Si el 'Tipo de Conductor' es igual a 'Principal' y la 'Modalidad de traslado' es '01' y el 'Indicador de traslados de vehículos de la categoría M1 o L' no existe (Falso) y el 'Indicador de registro de vehículos y conductores del transportista' existe (Verdadero), el atributo no existe o es vacío</t>
  </si>
  <si>
    <t>Si el 'Tipo de Conductor' es igual a 'Principal'  y el 'Indicador de traslado en vehículos de categoría M1 o L'  existe (Verdadero), el atributo existe y es diferente de vacío</t>
  </si>
  <si>
    <t>3455</t>
  </si>
  <si>
    <t>Si el 'Tipo de Conductor' es igual a 'Principal', la 'Modalidad de traslado' es '01' y el 'Indicador de traslados de vehículos de la categoría M1 o L' no existe (Falso) y el 'Indicador de registro de vehículos y conductores del transportista' no existe (Falso), el atributo existe y es diferente de vacío</t>
  </si>
  <si>
    <t xml:space="preserve">Si existe el atributo y es diferente de vacío, y el 'Tipo de Conductor' es igual a 'Principal', el valor del atributo es distinto al Catálogo N° 06 o es igual a '6' </t>
  </si>
  <si>
    <t>2571</t>
  </si>
  <si>
    <t>/DespatchAdvice/cac:Shipment/cac:ShipmentStage/cac:DriverPerson/cbc:ID</t>
  </si>
  <si>
    <t>Si el 'Tipo de Conductor' es igual a 'Principal' y la 'Modalidad de traslado' es '02' y el 'Indicador de traslados de vehículos de la categoría M1 o L' no existe (Falso), el Tag UBL no existe o es vacío</t>
  </si>
  <si>
    <t>2568</t>
  </si>
  <si>
    <t>Si el 'Tipo de Conductor' es igual a 'Principal' y la 'Modalidad de traslado' es '01' y el 'Indicador de traslados de vehículos de la categoría M1 o L' no existe (Falso) y el 'Indicador de registro de vehículos y conductores del transportista' existe (Verdadero), el Tag UBL no existe o es vacío</t>
  </si>
  <si>
    <t>Si el 'Tipo de Conductor' es igual a 'Principal', y el 'Indicador de traslado en vehículos de categoría M1 o L'  existe (Verdadero), el Tag UBL existe y es diferente de vacío</t>
  </si>
  <si>
    <t>Si el 'Tipo de Conductor' es igual a 'Principal' y la 'Modalidad de traslado' es '01' y el 'Indicador de traslados de vehículos de la categoría M1 o L' no existe (Falso) y el 'Indicador de registro de vehículos y conductores del transportista' no existe (Falso), el Tag UBL existe y es diferente de vacío</t>
  </si>
  <si>
    <t>Si el 'Tipo de Conductor' es igual a 'Principal', y el 'Tipo de documento de identidad del conductor' es '1', el fomato del Tag UBL es diferente a numérico de 8 dígitos</t>
  </si>
  <si>
    <t>2569</t>
  </si>
  <si>
    <t>Si el 'Tipo de Conductor' es igual a 'Principal', y el 'Tipo de documento de identidad del conductor' es '1', el valor del Tag UBL no se encuentra en el listado</t>
  </si>
  <si>
    <t>3359</t>
  </si>
  <si>
    <t>Si el 'Tipo de Conductor' es igual a 'Principal', y el 'Tipo de documento de identidad del conductor' es diferente a '1' y diferente de vacío, el formato del Tag UBL es diferente a alfanumérico de hasta 15 caracteres (se considera cualquier carácter, no se permite ningún otro 'whitespace character': espacio, salto de línea, tab, fin de línea, etc.)</t>
  </si>
  <si>
    <t>Apellidos y nombres del conductor</t>
  </si>
  <si>
    <t>/DespatchAdvice/cac:Shipment/cac:ShipmentStage/cac:DriverPerson/cbc:FirstName (Nombres)</t>
  </si>
  <si>
    <t>3360</t>
  </si>
  <si>
    <t>Si el 'Tipo de Conductor' es igual a 'Principal' y el 'Indicador de traslado en vehículos de categoría M1 o L'  existe (Verdadero), el Tag UBL existe y es diferente de vacío</t>
  </si>
  <si>
    <t>Si el Tag UBL existe y es diferente de vacío, el 'Tipo de Conductor' es igual a 'Principal', el formato del Tag UBL es diferente a alfanumérico de hasta 250 caracteres (se considera cualquier carácter incluido espacio, no se permite ningún otro 'whitespace character': salto de línea, tab, fin de línea, etc. Tampoco se permite solo espacios en blanco)</t>
  </si>
  <si>
    <t>4409</t>
  </si>
  <si>
    <t>/DespatchAdvice/cac:Shipment/cac:ShipmentStage/cac:DriverPerson/cbc:FamilyName (Apellidos)</t>
  </si>
  <si>
    <t>3361</t>
  </si>
  <si>
    <t>Si el 'Tipo de Conductor' es igual a 'Principal' y la 'Modalidad de traslado' es '01' y el 'Indicador de traslados de vehículos de la categoría M1 o L' no existe (Falso) y el 'Indicador de registro de vehículos y conductores del transportista' existe (Verdadero),  el Tag UBL no existe o es vacío</t>
  </si>
  <si>
    <t>Número de licencia de conducir</t>
  </si>
  <si>
    <t>/DespatchAdvice/cac:Shipment/cac:ShipmentStage/cac:DriverPerson/cac:IdentityDocumentReference/cbc:ID</t>
  </si>
  <si>
    <t>2572</t>
  </si>
  <si>
    <t>Si el 'Tipo de Conductor' es igual a 'Principal', y el valor del Tag es diferente de vacío, el formato del Tag UBL es diferente a alfanumérico de 9 a 10 caracteres (solo se permiten letras y números, no se permite solamente ceros)</t>
  </si>
  <si>
    <t>2573</t>
  </si>
  <si>
    <t>Si el 'Tipo de Conductor' es igual a 'Principal', y el valor del Tag es diferente de vacío, el valor del Tag UBL no se encuentra en el listado</t>
  </si>
  <si>
    <t>4412</t>
  </si>
  <si>
    <t>Licencias MTC</t>
  </si>
  <si>
    <r>
      <t xml:space="preserve">Conductores secundarios - </t>
    </r>
    <r>
      <rPr>
        <b/>
        <i/>
        <sz val="9"/>
        <rFont val="Calibri"/>
        <family val="2"/>
        <scheme val="minor"/>
      </rPr>
      <t>Incremental</t>
    </r>
    <r>
      <rPr>
        <b/>
        <sz val="9"/>
        <rFont val="Calibri"/>
        <family val="2"/>
        <scheme val="minor"/>
      </rPr>
      <t xml:space="preserve"> </t>
    </r>
    <r>
      <rPr>
        <b/>
        <i/>
        <sz val="9"/>
        <rFont val="Calibri"/>
        <family val="2"/>
        <scheme val="minor"/>
      </rPr>
      <t>hasta 2</t>
    </r>
  </si>
  <si>
    <t>'Secundario'</t>
  </si>
  <si>
    <t>Existe más de un tag cac:DriverPerson con 'Tipo de Conductor' igual a 'Secundario' y 'Número de licencia de conducir´secundario iguales (no se considera los 'Números de licencia de conducir' con valor vacío)</t>
  </si>
  <si>
    <t>3362</t>
  </si>
  <si>
    <t>Si el 'Tipo de Conductor' es igual a 'Secundario' y la 'Modalidad de traslado' es '02' y el 'Indicador de traslados de vehículos de la categoría M1 o L' no existe (Falso), y existe 'Número de documento de identidad' de conductor secundario con valor diferente de vacío, no existe el atributo o es vacío</t>
  </si>
  <si>
    <t>Si el 'Tipo de Conductor' es igual a 'Secundario' y la 'Modalidad de traslado' es '01' y el 'Indicador de traslados de vehículos de la categoría M1 o L' no existe (Falso), y existe 'Número de documento de identidad' de conductor secundario con valor diferente de vacío, no existe el atributo o es vacío</t>
  </si>
  <si>
    <t>Si el 'Tipo de Conductor' es igual a 'Secundario' y el 'Indicador de traslado en vehículos de categoría M1 o L'  existe (Verdadero), el atributo existe y es diferente de vacío</t>
  </si>
  <si>
    <t>3456</t>
  </si>
  <si>
    <t>Si el 'Tipo de Conductor' es igual a 'Secundario' y la 'Modalidad de traslado' es '01' y el 'Indicador de traslados de vehículos de la categoría M1 o L' no existe (Falso) y el 'Indicador de registro de vehículos y conductores del transportista' no existe (Falso), el atributo existe y es diferente de vacío</t>
  </si>
  <si>
    <t xml:space="preserve">Si existe el atributo, y el 'Tipo de Conductor' es igual a 'Secundario' y la 'Modalidad de traslado' es '02' y el 'Indicador de traslados de vehículos de la categoría M1 o L' no existe (Falso), el valor del atributo es distinto al Catálogo N° 06 o es igual a '6' </t>
  </si>
  <si>
    <r>
      <t>Si existe el atributo, y el 'Tipo de Conductor' es igual a 'Secundario'</t>
    </r>
    <r>
      <rPr>
        <b/>
        <sz val="9"/>
        <rFont val="Calibri"/>
        <family val="2"/>
        <scheme val="minor"/>
      </rPr>
      <t xml:space="preserve"> </t>
    </r>
    <r>
      <rPr>
        <sz val="9"/>
        <rFont val="Calibri"/>
        <family val="2"/>
        <scheme val="minor"/>
      </rPr>
      <t xml:space="preserve">y la 'Modalidad de traslado' es '01' y el 'Indicador de traslados de vehículos de la categoría M1 o L' no existe (Falso), el valor del atributo es distinto al Catálogo N° 06 o es igual a '6' </t>
    </r>
  </si>
  <si>
    <t>Si el 'Tipo de Conductor' es igual a 'Secundario' y la 'Modalidad de traslado' es '02' y el 'Indicador de traslados de vehículos de la categoría M1 o L' no existe (Falso), y existe 'Tipo de documento de identidad' de conductor secundario con valor diferente de vacío,  el valor del Tag UBL es valor vacío</t>
  </si>
  <si>
    <t>Si el 'Tipo de Conductor' es igual a 'Secundario' y la 'Modalidad de traslado' es '01' y el 'Indicador de traslados de vehículos de la categoría M1 o L' no existe (Falso), y el 'Indicador de registro de vehículos y conductores del transportista' existe (Verdadero), y existe 'Tipo de documento de identidad' de conductor secundario con valor diferente de vacío, el valor del Tag UBL es vacío</t>
  </si>
  <si>
    <t>Si el 'Tipo de Conductor' es igual a 'Secundario' y la 'Modalidad de traslado' es '02' y el 'Indicador de traslados de vehículos de la categoría M1 o L' no existe (Falso), y existe 'Número de licencia de conducir' de conductor secundario con valor diferente de vacío, no existe el Tag UBL o es vacío</t>
  </si>
  <si>
    <t>Si el 'Tipo de Conductor' es igual a 'Secundario' y la 'Modalidad de traslado' es '01' y el 'Indicador de traslados de vehículos de la categoría M1 o L' no existe (Falso), y el 'Indicador de registro de vehículos y conductores del transportista' existe (Verdadero), y existe 'Número de licencia de conducir' de conductor secundario con valor diferente de vacío, no existe el Tag UBL o es vacío</t>
  </si>
  <si>
    <t>Si el 'Tipo de Conductor' es igual a 'Secundario' y el 'Indicador de traslado en vehículos de categoría M1 o L'  existe (Verdadero), el Tag UBL existe y es diferente de vacío</t>
  </si>
  <si>
    <t>Si el 'Tipo de Conductor' es igual a 'Secundario' y la 'Modalidad de traslado' es '01' y el 'Indicador de traslados de vehículos de la categoría M1 o L' no existe (Falso) y el 'Indicador de registro de vehículos y conductores del transportista' no existe (Falso), el Tag UBL existe y es diferente de vacío</t>
  </si>
  <si>
    <t>Si el 'Tipo de Conductor' es igual a 'Secundario', y el 'Tipo de documento de identidad del conductor' es '1', el fomato del Tag UBL es diferente a numérico de 8 dígitos</t>
  </si>
  <si>
    <t>Si el 'Tipo de Conductor' es igual a 'Secundario', y el 'Tipo de documento de identidad del conductor' es '1', el valor del Tag UBL no se encuentra en el listado</t>
  </si>
  <si>
    <t>Si el 'Tipo de Conductor' es igual a 'Secundario', y el 'Tipo de documento de identidad del conductor' es diferente a '1' y diferente de vacío, el formato del Tag UBL es diferente a alfanumérico de hasta 15 caracteres (se considera cualquier carácter, no se permite ningún otro 'whitespace character': espacio, salto de línea, tab, fin de línea, etc.)</t>
  </si>
  <si>
    <t>Si el Tag UBL existe y es diferente de vacío, el 'Tipo de Conductor' es igual a 'Secundario', el formato del Tag UBL es diferente a alfanumérico de hasta 250 caracteres (se considera cualquier carácter incluido espacio, no se permite ningún otro 'whitespace character': salto de línea, tab, fin de línea, etc. Tampoco se permite solo espacios en blanco)</t>
  </si>
  <si>
    <t>Si el 'Tipo de Conductor' es igual a 'Secundario' y la 'Modalidad de traslado' es '02' y el 'Indicador de traslados de vehículos de la categoría M1 o L' no existe (Falso), y existe 'Número de documento de identidad' de conductor secundario con valor diferente de vacío, no existe el Tag UBL o es vacío</t>
  </si>
  <si>
    <t>Si el 'Tipo de Conductor' es igual a 'Secundario' y la 'Modalidad de traslado' es '01' y el 'Indicador de traslados de vehículos de la categoría M1 o L' no existe (Falso), y existe 'Número de documento de identidad' del conductor secundario con valor diferente de vacío, no existe el Tag UBL o es vacío</t>
  </si>
  <si>
    <t>Si el 'Tipo de Conductor' es igual a 'Secundario', y el valor del Tag es diferente de vacío, el formato del Tag UBL es diferente a alfanumérico de 9 a 10 caracteres (solo se permiten letras y números, no se permite solamente ceros)</t>
  </si>
  <si>
    <t>Si el 'Tipo de Conductor' es igual a 'Secundario', y el valor del Tag es diferente de vacío, el valor del Tag UBL no se encuentra en el listado</t>
  </si>
  <si>
    <t>Dirección del punto de partida</t>
  </si>
  <si>
    <t>Ubigeo de partida</t>
  </si>
  <si>
    <t>(Catálogo N° 13)</t>
  </si>
  <si>
    <t>/DespatchAdvice/cac:Shipment/cac:Delivery/cac:Despatch/cac:DespatchAddress/cbc:ID</t>
  </si>
  <si>
    <t>2775</t>
  </si>
  <si>
    <t>El formato del Tag UBL es diferente a numérico de 6 dígitos</t>
  </si>
  <si>
    <t>2776</t>
  </si>
  <si>
    <t>3363</t>
  </si>
  <si>
    <t>Catálogo (013)</t>
  </si>
  <si>
    <t xml:space="preserve">Si 'Motivo de traslado' es '08', existe 'Código de puerto' válido (existe en el listado), el valor del Tag UBL no corresponde al ubigeo del puerto consignado
</t>
  </si>
  <si>
    <t>3364</t>
  </si>
  <si>
    <t>Catálogo (063)</t>
  </si>
  <si>
    <t xml:space="preserve">Si 'Motivo de traslado' es '08', existe 'Código de aeropuerto' válido (existe en el listado), el valor del Tag UBL no corresponde al ubigeo del aeropuero consignado
</t>
  </si>
  <si>
    <t>Catálogo (064)</t>
  </si>
  <si>
    <t>"PE:INEI"</t>
  </si>
  <si>
    <t>Si existe el atributo, el valor ingresado es diferente a 'PE:INEI'</t>
  </si>
  <si>
    <t>"Ubigeos"</t>
  </si>
  <si>
    <t>Si existe el atributo, el valor ingresado es diferente a 'Ubigeos'</t>
  </si>
  <si>
    <t>Dirección completa y detallada de partida</t>
  </si>
  <si>
    <t>/DespatchAdvice/cac:Shipment/cac:Delivery/cac:Despatch/cac:DespatchAddress/cac:AddressLine/cbc:Line</t>
  </si>
  <si>
    <t>2577</t>
  </si>
  <si>
    <t>El formato del Tag UBL es diferente a alfanumérico de 3 hasta 500 caracteres (se considera cualquier carácter incluido espacio, no se permite ningún otro 'whitespace character': salto de línea, tab, fin de línea, etc. Tampoco se permite solo espacios en blanco)</t>
  </si>
  <si>
    <t>4076</t>
  </si>
  <si>
    <t>Número de RUC  asociado al punto de partida</t>
  </si>
  <si>
    <t>/DespatchAdvice/cac:Shipment/cac:Delivery/cac:Despatch/cac:DespatchAddress/cbc:AddressTypeCode@listID</t>
  </si>
  <si>
    <t>Si el 'Código de establecimiento de punto de partida' existe y es diferente de vacío, no existe el atributo o es vacío</t>
  </si>
  <si>
    <t>3410</t>
  </si>
  <si>
    <t>Si el atributo existe y es diferente de vacío, y el 'Motivo de traslado' es '02', '07' o '08', el valor de atributo es igual a 'Número de documento de identidad' del remitente</t>
  </si>
  <si>
    <t>3411</t>
  </si>
  <si>
    <t>Si el atributo existe y es diferente de vacío, y el 'Motivo de traslado' es '04', el valor del atributo es diferente a 'Número de documento de identidad' del remitente</t>
  </si>
  <si>
    <t>3414</t>
  </si>
  <si>
    <t>Si el 'Motivo de traslado' es '08', no existe 'Código de Puerto' o es vacío, y no existe 'Código de Aeropuerto' o es vacío, el Tag UBL existe y es diferente al número de RUC del depósito temporal consignado en la DAM o DS siempre que exista este dato en la DAM o DS (debe verificarse que se cumpla para todas las DAM o DS consignadas en la guía)</t>
  </si>
  <si>
    <t>3424</t>
  </si>
  <si>
    <t>Si el atributo existe y es diferente de vacío, el valor del atributo es diferente de numérico de 11 dígitos</t>
  </si>
  <si>
    <t>Si el atributo existe y es diferente de vacío, el valor del atributo no está en el listado</t>
  </si>
  <si>
    <t>3412</t>
  </si>
  <si>
    <t>Código de establecimiento de punto de partida</t>
  </si>
  <si>
    <t>/DespatchAdvice/cac:Shipment/cac:Delivery/cac:Despatch/cac:DespatchAddress/cbc:AddressTypeCode</t>
  </si>
  <si>
    <t>Si el 'Número de RUC asociado al punto de partida' existe y es diferente de vacío, el Tag UBL es vacío</t>
  </si>
  <si>
    <t>3365</t>
  </si>
  <si>
    <t>Si el 'Motivo de traslado' es '04', no existe el Tag UBL o es vacío</t>
  </si>
  <si>
    <t>Si el 'Motivo de traslado' es '08', y no existe 'Código de Puerto' o es vacío, y no existe 'Código de Aeropuerto' o es vacío, no existe el Tag UBL o es vacío</t>
  </si>
  <si>
    <t>Si existe el Tag UBL y es diferente de vacío y es diferente de '0000', el 'Número de RUC asociado al punto de partida' es igual al 'Número de RUC del remitente', el valor del Tag UBL no está en el listado</t>
  </si>
  <si>
    <t>3366</t>
  </si>
  <si>
    <t>Establecimientos Anexos</t>
  </si>
  <si>
    <t xml:space="preserve">Si existe el Tag UBL y es diferente de vacío y es diferente de '0000', el 'Número de RUC asociado al punto de partida' no es igual al 'Número de RUC del remitente', el valor del Tag UBL no está en el listado para el 'Número de RUC asociado al punto de partida'
</t>
  </si>
  <si>
    <t xml:space="preserve">Si existe el Tag UBL y es diferente de vacío y es diferente de '0000', el ubigeo del 'Código de establecimiento de punto de partida'  para el 'Número de RUC asociado al punto de partida' en el listado, es diferente al 'Ubigeo de partida' consignado </t>
  </si>
  <si>
    <t>3367</t>
  </si>
  <si>
    <t>"Establecimientos anexos"</t>
  </si>
  <si>
    <t>Si existe el atributo, el valor ingresado es diferente a 'Establecimientos anexos'</t>
  </si>
  <si>
    <t>Punto de georreferencia de partida</t>
  </si>
  <si>
    <t>n(3,8)</t>
  </si>
  <si>
    <t>/DespatchAdvice/cac:Shipment/cac:Delivery/cac:Despatch/cac:DespatchAddress/cac:LocationCoordinate/cbc:LatitudeDegreesMeasure (Longitud)</t>
  </si>
  <si>
    <t>El formato del Tag UBL es diferente de númerico de hasta 3 enteros y hasta 8 decimales (acepta valores positivos o negativos)</t>
  </si>
  <si>
    <t>3413</t>
  </si>
  <si>
    <t>'DD'</t>
  </si>
  <si>
    <t>@unitCode</t>
  </si>
  <si>
    <t>/DespatchAdvice/cac:Shipment/cac:Delivery/cac:Despatch/cac:DespatchAddress/cac:LocationCoordinate/cbc:LongitudeDegreesMeasure (Latitud)</t>
  </si>
  <si>
    <t>Dirección del punto de llegada</t>
  </si>
  <si>
    <t>Ubigeo de llegada</t>
  </si>
  <si>
    <t>/DespatchAdvice/cac:Shipment/cac:Delivery/cac:DeliveryAddress/cbc:ID</t>
  </si>
  <si>
    <t>Si 'Motivo de traslado' es diferente de '18', no existe el Tag UBL o es vacío</t>
  </si>
  <si>
    <t>Si 'Motivo de traslado' es diferente de '18', el formato del Tag UBL es diferente a numérico de 6 dígitos</t>
  </si>
  <si>
    <t>Si 'Motivo de traslado' es diferente de '18', el valor del Tag UBL no está en el listado</t>
  </si>
  <si>
    <t>3368</t>
  </si>
  <si>
    <t xml:space="preserve">Si 'Motivo de traslado' es '09' y existe 'Código de puerto' válido (existe en el listado), el valor del Tag UBL no corresponde al ubigeo del puerto consignado
</t>
  </si>
  <si>
    <t>Dirección completa y detallada de llegada</t>
  </si>
  <si>
    <t>/DespatchAdvice/cac:Shipment/cac:Delivery/cac:DeliveryAddress/cac:AddressLine/cbc:Line</t>
  </si>
  <si>
    <t>2574</t>
  </si>
  <si>
    <t>Si 'Motivo de traslado' es diferente de '18', el formato del Tag UBL es diferente a alfanumérico de 3 hasta 500 caracteres (se considera cualquier carácter incluido espacio, no se permite ningún otro 'whitespace character': salto de línea, tab, fin de línea, etc. Tampoco se permite solo espacios en blanco)</t>
  </si>
  <si>
    <t>4068</t>
  </si>
  <si>
    <t>Número de RUC asociado al punto de llegada</t>
  </si>
  <si>
    <t>/DespatchAdvice/cac:Shipment/cac:Delivery/cac:DeliveryAddress/cbc:AddressTypeCode@listID</t>
  </si>
  <si>
    <t>Si el 'Código de establecimiento de punto de llegada' existe y es diferente de vacío, no existe el atributo o es vacío</t>
  </si>
  <si>
    <t>Si el atributo existe y es diferente de vacío, el 'Motivo de traslado' es '01', '03', '05', '06', '14' o '17', el valor del atributo es igual a 'Número de documento de identidad' del remitente</t>
  </si>
  <si>
    <t>Código de establecimiento de punto de llegada</t>
  </si>
  <si>
    <t>/DespatchAdvice/cac:Shipment/cac:Delivery/cac:DeliveryAddress/cbc:AddressTypeCode</t>
  </si>
  <si>
    <t>Si el 'Número de RUC asociado al punto de llegada' existe y es diferente de vacío, el Tag UBL es vacío</t>
  </si>
  <si>
    <t>3369</t>
  </si>
  <si>
    <t>Si el 'Motivo de traslado' es '18', existe el Tag UBL y es diferente de vacío</t>
  </si>
  <si>
    <t>3416</t>
  </si>
  <si>
    <t>Si el 'Motivo de traslado' es '09', y no existe 'Código de Puerto' o es vacío, no existe el Tag UBL o es vacío</t>
  </si>
  <si>
    <t>Si existe el Tag UBL y es diferente de vacío y es diferente de '0000', y el 'Número de RUC asociado al punto de llegada' es igual al 'Número de RUC del remitente', el valor del Tag UBL no está en el listado</t>
  </si>
  <si>
    <t>3370</t>
  </si>
  <si>
    <t>Si existe el Tag UBL y es diferente de vacío y es diferente de '0000', y el 'Número de RUC asociado al punto de llegada' no es igual al 'Número de RUC del remitente', el valor del Tag UBL no está en el listado para el 'Número de RUC asociado al punto de llegada'</t>
  </si>
  <si>
    <t xml:space="preserve">Si existe el Tag UBL y es diferente de vacío y es diferente de '0000', el ubigeo del 'Código de establecimiento de punto de llegada'  para el 'Número de RUC asociado al punto de llegada' en el listado, es diferente al 'Ubigeo de llegada' consignado </t>
  </si>
  <si>
    <t>3371</t>
  </si>
  <si>
    <t>Punto de georreferencia de llegada</t>
  </si>
  <si>
    <t>/DespatchAdvice/cac:Shipment/cac:Delivery/cac:DeliveryAddress/cac:LocationCoordinate/cbc:LatitudeDegreesMeasure (Longitud)</t>
  </si>
  <si>
    <t>/DespatchAdvice/cac:Shipment/cac:Delivery/cac:DeliveryAddress/cac:LocationCoordinate/cbc:LongitudeDegreesMeasure (Latitud)</t>
  </si>
  <si>
    <t>Puerto o Aeropuerto de embarque/desembarque</t>
  </si>
  <si>
    <t>Código del Puerto</t>
  </si>
  <si>
    <t>(Catálogo N° 63)</t>
  </si>
  <si>
    <t>/DespatchAdvice/cac:Shipment/cac:FirstArrivalPortLocation/cbc:ID (Código del puerto)</t>
  </si>
  <si>
    <t>Si el 'Motivo de traslado' es '08' o '09', el 'Tipo de locacion' es '1', no existe el Tag UBL o es vacío</t>
  </si>
  <si>
    <t>4413</t>
  </si>
  <si>
    <t>Si el Tag UBL existe y es diferente de vacío, el 'Motivo de traslado' es '08' o '09', el 'Tipo de locacion' es '1', el valor del Tag UBL no se encuentra en el listado</t>
  </si>
  <si>
    <t>3459</t>
  </si>
  <si>
    <t>"Puertos"</t>
  </si>
  <si>
    <t>Si existe el atributo y el 'Tipo de locación' es '1', el valor ingresado es diferente a 'Puertos'</t>
  </si>
  <si>
    <t>"urn:pe:gob:sunat:cpe:see:gem:catalogos:catalogo63"</t>
  </si>
  <si>
    <t>Si 'Tipo de locación' es '1' y existe el atributo, el valor ingresado es diferente a 'urn:pe:gob:sunat:cpe:see:gem:catalogos:catalogo63'</t>
  </si>
  <si>
    <t>'1' Puerto</t>
  </si>
  <si>
    <t>/DespatchAdvice/cac:Shipment/cac:FirstArrivalPortLocation/cbc:LocationTypeCode (Tipo de locación)</t>
  </si>
  <si>
    <t>Si el 'Motivo de traslado' es '08' o '09', existe 'Código del puerto' con valor diferente de vacío, no existe el Tag UBL o es vacío</t>
  </si>
  <si>
    <t>4415</t>
  </si>
  <si>
    <t>Si el 'Motivo de traslado' es '08' o '09', existe 'Código del puerto' con valor diferente de vacío, el valor del Tag UBL es diferente de '1' y diferente de '2'</t>
  </si>
  <si>
    <t>4416</t>
  </si>
  <si>
    <t>Código del Aeropuerto</t>
  </si>
  <si>
    <t>(Catálogo N° 64)</t>
  </si>
  <si>
    <t>/DespatchAdvice/cac:Shipment/cac:FirstArrivalPortLocation/cbc:ID (Código del aeropuerto)</t>
  </si>
  <si>
    <t>Si el 'Motivo de traslado' es '08', el 'Tipo de locacion' es '2', no existe el Tag UBL o es vacío</t>
  </si>
  <si>
    <t>Si el Tag UBL existe y es diferente de vacío, el 'Motivo de traslado' es '08', el 'Tipo de locacion' es '2', el valor del Tag UBL no se encuentra en el listado</t>
  </si>
  <si>
    <t>3460</t>
  </si>
  <si>
    <t>"Aeropuertos"</t>
  </si>
  <si>
    <t>Si existe el atributo y el 'Tipo de locación' es '2', el valor ingresado es diferente a 'Aeropuertos'</t>
  </si>
  <si>
    <t>"urn:pe:gob:sunat:cpe:see:gem:catalogos:catalogo64"</t>
  </si>
  <si>
    <t>Si 'Tipo de locación' es '2' y existe el atributo, el valor ingresado es diferente a 'urn:pe:gob:sunat:cpe:see:gem:catalogos:catalogo64'</t>
  </si>
  <si>
    <t>'2' Aeropuerto</t>
  </si>
  <si>
    <t>Si el 'Motivo de traslado' es '08', existe 'Código del aeropuerto' con valor diferente de vacío, no existe el Tag UBL o es vacío</t>
  </si>
  <si>
    <t>Si el 'Motivo de traslado' es '08', existe 'Código del aeropuerto' con valor diferente de vacío, el valor del Tag UBL es diferente de '1' y diferente de '2'</t>
  </si>
  <si>
    <t>Nombre del puerto o aeropuerto</t>
  </si>
  <si>
    <t>/DespatchAdvice/cac:Shipment/cac:FirstArrivalPortLocation/cbc:Name</t>
  </si>
  <si>
    <t>Si existe 'Código de puerto' o 'Código de aeropuerto' con valor diferente a vacio, el Tag UBL no existe o es vacío</t>
  </si>
  <si>
    <t>4418</t>
  </si>
  <si>
    <r>
      <t xml:space="preserve">Bienes a trasladar - </t>
    </r>
    <r>
      <rPr>
        <b/>
        <i/>
        <sz val="9"/>
        <rFont val="Calibri"/>
        <family val="2"/>
        <scheme val="minor"/>
      </rPr>
      <t>Incremental</t>
    </r>
  </si>
  <si>
    <t>Número de orden del item</t>
  </si>
  <si>
    <t>Ítem</t>
  </si>
  <si>
    <t>n..4</t>
  </si>
  <si>
    <t>/DespatchAdvice/cac:DespatchLine/cbc:ID</t>
  </si>
  <si>
    <t>El formato del Tag UBL es diferente de numérico de hasta 4 dígitos</t>
  </si>
  <si>
    <t>2023</t>
  </si>
  <si>
    <t>El valor del Tag UBL se repite en el /DespatchAdvice</t>
  </si>
  <si>
    <t>2752</t>
  </si>
  <si>
    <t xml:space="preserve">/DespatchAdvice/cac:DespatchLine/cac:OrderLineReference/cbc:LineID </t>
  </si>
  <si>
    <t>Cantidad del bien</t>
  </si>
  <si>
    <t>/DespatchAdvice/cac:DespatchLine/cbc:DeliveredQuantity</t>
  </si>
  <si>
    <t>Si no existe el 'Indicador de traslado total de la DAM o la DS' (Falso), el Tag UBL no existe o es cero (0)</t>
  </si>
  <si>
    <t>2580</t>
  </si>
  <si>
    <t>Si el Tag UBL existe, el formato del Tag UBL es diferente de decimal positivo de 12 enteros y hasta 10 decimales</t>
  </si>
  <si>
    <t>2780</t>
  </si>
  <si>
    <t>Si existe el 'Indicador de traslado total de la DAM o la DS' (Verdadero), el motivo de traslado es '08', el valor del Tag UBL es diferente a la cantidad de la serie (Número de serie) en la DAM o DS</t>
  </si>
  <si>
    <t>4436</t>
  </si>
  <si>
    <t>Unidad de medida del bien</t>
  </si>
  <si>
    <t>(Catálogo N° 03)
(Catálogo N° 65)</t>
  </si>
  <si>
    <t>/DespatchAdvice/cac:DespatchLine/cbc:DeliveredQuantity@unitCode</t>
  </si>
  <si>
    <t>Si no existe el 'Indicador de traslado total de la DAM o la DS' (Falso), el valor del atributo es vacío</t>
  </si>
  <si>
    <t>2883</t>
  </si>
  <si>
    <t>Si no existe el 'Indicador de traslado total de la DAM o la DS' (Falso), el motivo de traslado es diferente a '08', '09' y '13', el valor del atributo no está en el listado del Catálogo 03</t>
  </si>
  <si>
    <t>4320</t>
  </si>
  <si>
    <t>Catálogo (003)</t>
  </si>
  <si>
    <t>Si no existe el 'Indicador de traslado total de la DAM o la DS' (Falso), el motivo de traslado es '13', el valor del atributo no está en el Catálogo 03 y Catálogo 65</t>
  </si>
  <si>
    <t>Si no existe el 'Indicador de traslado total de la DAM o la DS' (Falso), el motivo de traslado es '08' o '09', el valor del atributo no está en el listado Catálogo 65</t>
  </si>
  <si>
    <t>3446</t>
  </si>
  <si>
    <t>Catálogo (065)</t>
  </si>
  <si>
    <t>"UN/ECE rec 20"</t>
  </si>
  <si>
    <t>@unitCodeListID</t>
  </si>
  <si>
    <t>Si existe el atributo, el valor ingresado es diferente a 'UN/ECE rec 20'</t>
  </si>
  <si>
    <t>4258</t>
  </si>
  <si>
    <t>'"United Nations Economic Commission for Europe"</t>
  </si>
  <si>
    <t>@unitCodeListAgencyName</t>
  </si>
  <si>
    <t>Si existe el atributo, el valor ingresado es diferente a 'United Nations Economic Commission for Europe'</t>
  </si>
  <si>
    <t>4259</t>
  </si>
  <si>
    <t>Descripción detallada del bien</t>
  </si>
  <si>
    <t>/DespatchAdvice/cac:DespatchLine/cac:Item/cbc:Description</t>
  </si>
  <si>
    <t>Si no existe el 'Indicador de traslado total de la DAM o la DS' (Falso), el Tag UBL no existe o está vacío</t>
  </si>
  <si>
    <t>2781</t>
  </si>
  <si>
    <t>Si existe el Tag UBL, el formato del Tag UBL es diferente a alfanumérico de 3 hasta 500 caracteres (se considera cualquier carácter, permite 'whitespace character': espacio, salto de línea, fin de línea, tab, etc. No se permiten solo espacios en blanco)</t>
  </si>
  <si>
    <t>4084</t>
  </si>
  <si>
    <t>Código del bien</t>
  </si>
  <si>
    <t xml:space="preserve">/DespatchAdvice/cac:DespatchLine/cac:Item/cac:SellersItemIdentification/cbc:ID </t>
  </si>
  <si>
    <t>Si el Tag UBL existe, el formato del Tag UBL es diferente a alfanumérico de hasta 30 caracteres (se considera cualquier carácter incluido espacio, no se permite ningún otro 'whitespace character': salto de línea, tab, fin de línea, etc.)</t>
  </si>
  <si>
    <t>4085</t>
  </si>
  <si>
    <t>Código producto SUNAT</t>
  </si>
  <si>
    <t>n..8</t>
  </si>
  <si>
    <t xml:space="preserve">(Catálogo N.° 25) </t>
  </si>
  <si>
    <t>/DespatchAdvice/cac:DespatchLine/cac:Item/cac:CommodityClassification/
cbc:ItemClassificationCode</t>
  </si>
  <si>
    <t>Si no existe el 'Indicador de traslado total de la DAM o la DS' (Falso), y el 'Indicador de bien normalizado' es '1', no existe el Tag UBL o es vacío</t>
  </si>
  <si>
    <t>3372</t>
  </si>
  <si>
    <t>Si el Tag UBL existe y es diferente de vacío, el valor del Tag UBL es diferente a numérico de hasta 8 caracteres (no se acepta solamente ceros)</t>
  </si>
  <si>
    <t>3002</t>
  </si>
  <si>
    <t>Si el Tag UBL existe y es diferente de vacío, el valor del Tag UBL no está en el listado</t>
  </si>
  <si>
    <t>3373</t>
  </si>
  <si>
    <t>Catálogo (025)</t>
  </si>
  <si>
    <t>Si no existe el 'Indicador de traslado total de la DAM o la DS' (Falso), y el 'Indicador de bien normalizado' es '1', el Tag UBL existe y es diferente de vacío, el valor del Tag UBL no está en el listado de bienes normalizados</t>
  </si>
  <si>
    <t>3425</t>
  </si>
  <si>
    <t>Catálogo (062)</t>
  </si>
  <si>
    <t>"UNSPSC"</t>
  </si>
  <si>
    <t>@listID</t>
  </si>
  <si>
    <t>Si existe el atributo, el valor ingresado es diferente a 'UNSPSC'</t>
  </si>
  <si>
    <t>4254</t>
  </si>
  <si>
    <t>"GS1 US"</t>
  </si>
  <si>
    <t>Si existe el atributo, el valor ingresado es diferente a 'GS1 US'</t>
  </si>
  <si>
    <t>"Item Classification"</t>
  </si>
  <si>
    <t>Si existe el atributo, el valor ingresado es diferente a 'Item Classification'</t>
  </si>
  <si>
    <t>Código GTIN</t>
  </si>
  <si>
    <t>/DespatchAdvice/cac:DespatchLine/cac:Item/cac:StandardItemIdentification/cbc:ID (Código de producto GTIN)</t>
  </si>
  <si>
    <t>Si el Tag UBL existe y es diferente de vacío, el valor del Tag UBL es diferente de alfanumérico de hasta 14 caracteres</t>
  </si>
  <si>
    <t>3375</t>
  </si>
  <si>
    <t>@schemeID (Tipo de estructura GTIN)</t>
  </si>
  <si>
    <t>Si existe el atributo, el valor ingresado es diferente a 'GTIN-8', 'GTIN-12', 'GTIN-13' y 'GTIN-14'</t>
  </si>
  <si>
    <t>4335</t>
  </si>
  <si>
    <t>80
81
82
83</t>
  </si>
  <si>
    <t>Partida arancelaria
Indicador de bien normalizado
Numeración de la DAM o DS
Número de serie en la DAM o DS</t>
  </si>
  <si>
    <t>/DespatchAdvice/cac:DespatchLine/cac:Item/cac:AdditionalItemProperty/cbc:Name (Nombre del concepto)</t>
  </si>
  <si>
    <t>Si existe el tag y es vacío</t>
  </si>
  <si>
    <t>4235</t>
  </si>
  <si>
    <t>(Catálogo N.° 55)</t>
  </si>
  <si>
    <t>/DespatchAdvice/cac:DespatchLine/cac:Item/cac:AdditionalItemProperty/cbc:NameCode (Código del concepto)</t>
  </si>
  <si>
    <t>Si no existe el 'Indicador de traslado total de la DAM o la DS' (Falso), y el 'Indicador de bien normalizado' es '1', no existe el Tag con valor '7020' (Partida arancelaria)</t>
  </si>
  <si>
    <t>3426</t>
  </si>
  <si>
    <t>Si el 'Motivo de traslado' es '08' o '09', no existe el 'Indicador de traslado total de la DAM o la DS' (Falso), no existe el Tag con valor '7021' (Numeración de la DAM o DS)</t>
  </si>
  <si>
    <t>3427</t>
  </si>
  <si>
    <t>Si el 'Motivo de traslado' es '08' o '09', no existe el 'Indicador de traslado total de la DAM o la DS' (Falso), no existe el Tag con valor '7023' (Numero de serie en la DAM o DS)</t>
  </si>
  <si>
    <t>3428</t>
  </si>
  <si>
    <t>"Propiedad del item"</t>
  </si>
  <si>
    <t>Si existe el atributo, el valor ingresado es diferente a 'Propiedad del item'</t>
  </si>
  <si>
    <t>"urn:pe:gob:sunat:cpe:see:gem:catalogos:catalogo55"</t>
  </si>
  <si>
    <t>Si existe el atributo, el valor ingresado es diferente a 'urn:pe:gob:sunat:cpe:see:gem:catalogos:catalogo55'</t>
  </si>
  <si>
    <t>n..10
n1</t>
  </si>
  <si>
    <t>/DespatchAdvice/cac:DespatchLine/cac:Item/cac:AdditionalItemProperty/cbc:Value Partida arancelaria)</t>
  </si>
  <si>
    <t>De existir 'Código del concepto' '7020' o '7021' o '7022' o '7023', y no existe el tag o es vacio</t>
  </si>
  <si>
    <t>3064</t>
  </si>
  <si>
    <t>Si el 'Código del concepto' es '7020', el valor del Tag UBL es diferente a numérico de hasta 10 caracteres (no se acepta solamente ceros)</t>
  </si>
  <si>
    <t>3377</t>
  </si>
  <si>
    <t>Si el 'Código del concepto' es '7020', el valor del Tag UBL no se encuentra en el listado de Partidas arancelarias</t>
  </si>
  <si>
    <t>3378</t>
  </si>
  <si>
    <t>Partida arancelaria</t>
  </si>
  <si>
    <t>Si el 'Código del concepto' es '7020', y no existe el 'Indicador de traslado total de la DAM o la DS' (Falso), y el 'Indicador de bien normalizado' es '1', el valor del Tag UBL no está en el listado de bienes normalizados</t>
  </si>
  <si>
    <t>3429</t>
  </si>
  <si>
    <t>"0" Falso
"1" Verdadero</t>
  </si>
  <si>
    <t>/DespatchAdvice/cac:DespatchLine/cac:Item/cac:AdditionalItemProperty/cbc:Value (Indicador de bien normalizado)</t>
  </si>
  <si>
    <t>Si el 'Código de concepto' es '7022', el valor del Tag UBL es diferente de '0' y diferente de '1'</t>
  </si>
  <si>
    <t>3396</t>
  </si>
  <si>
    <t>Si no existe el 'Indicador de traslado total de la DAM o la DS' (Falso), y el 'Código del concepto' es '7022' y el valor del Tag UBL es '1', no existe al menos un documento relacionado (cac:AdditionalDocumentReference) con 'Código del tipo de documento' (cbc:DocumentTypeCode) igual a '49' o '80'</t>
  </si>
  <si>
    <t>3379</t>
  </si>
  <si>
    <t>an..18</t>
  </si>
  <si>
    <t>/DespatchAdvice/cac:DespatchLine/cac:Item/cac:AdditionalItemProperty/cbc:Value (Numeración de la DAM o DS)</t>
  </si>
  <si>
    <t>Si el 'Código de concepto' es '7021', el formato del Tag UBL es diferente a:
- [0-9]{3}-[0-9]{4}-[0-9]{2}-[0-9]{1,6}</t>
  </si>
  <si>
    <t>2769</t>
  </si>
  <si>
    <t>Si el 'Código de concepto' es '7021', y el 'Motivo de traslado' es '08' o '09', y no existe el 'Indicador de traslado total de la DAM o la DS' (Falso), el valor del Tag UBL no coincide con algún 'Número de documento relacionado' con 'Código de tipo de documento relacionado' igual a '50' o '52'</t>
  </si>
  <si>
    <t>3430</t>
  </si>
  <si>
    <t>/DespatchAdvice/cac:DespatchLine/cac:Item/cac:AdditionalItemProperty/cbc:Value (Número de serie en la DAM o DS)</t>
  </si>
  <si>
    <t xml:space="preserve">Si el 'Código de concepto' es '7023', el valor del Tag UBL es diferente a numérico de hasta 04 caracteres
</t>
  </si>
  <si>
    <t>3431</t>
  </si>
  <si>
    <t>Si el 'Código de concepto' es '7023', y el 'Motivo de traslado' es '08' o '09' y no existe el 'Indicador de traslado total de la DAM o la DS' (Falso), el valor del Tag UBL no existe como número de serie de la DAM o DS consignada</t>
  </si>
  <si>
    <t>3432</t>
  </si>
  <si>
    <t>Firma Digital</t>
  </si>
  <si>
    <t>Firma digital</t>
  </si>
  <si>
    <t>an..3000</t>
  </si>
  <si>
    <t xml:space="preserve">La firma digital no existe </t>
  </si>
  <si>
    <t>1059</t>
  </si>
  <si>
    <t>Firmas digitales vigentes</t>
  </si>
  <si>
    <t>La firma digital no cumple los requisitos de vigencia.</t>
  </si>
  <si>
    <t>2336</t>
  </si>
  <si>
    <t>GUIA REMISION ELECTRÓNICA TRANSPORTISTA</t>
  </si>
  <si>
    <t>TIPO DE RETORNO</t>
  </si>
  <si>
    <t>Version del UBL</t>
  </si>
  <si>
    <t>El valor del Tag UBL es diferente a "2.1"</t>
  </si>
  <si>
    <t>Version de la estructura del documento</t>
  </si>
  <si>
    <t>El valor del Tag UBL es diferente a "2.0"</t>
  </si>
  <si>
    <t>V###-NNNNNNNN</t>
  </si>
  <si>
    <t>El formato del Tag UBL es diferente a:
 [V][A-Z0-9]{3}-[0-9]{1,8}</t>
  </si>
  <si>
    <t>El valor del Tag UBL se encuentra en el listado con indicador de estado igual a '1'</t>
  </si>
  <si>
    <t>Comprobantes de pagos electrónicos</t>
  </si>
  <si>
    <t>El valor del Tag UBL se encuentra en el listado con indicador de estado igual a '2'</t>
  </si>
  <si>
    <t>"31"</t>
  </si>
  <si>
    <t>El valor del Tag UBL es diferente a "31"</t>
  </si>
  <si>
    <t>Si el Tag UBL existe, el formato del Tag UBL es diferente a alfanumérico de hasta  250 caracteres  o es vacío (se considera cualquier carácter incluido espacio, no se permite ningún otro "whitespace character": salto de línea, tab, fin de línea, etc. Tampoco se permite solo espacios en blanco)</t>
  </si>
  <si>
    <t>Tipo y número de documento de identidad del transportista</t>
  </si>
  <si>
    <t>/DespatchAdvice/cac:DespatchSupplierParty/cac:Party/cac:PartyIdentification/cbc:ID@schemeID</t>
  </si>
  <si>
    <t>El valor del Tag UBL es diferente a "6"</t>
  </si>
  <si>
    <t>/DespatchAdvice/cac:DespatchSupplierParty/cac:Party/cac:PartyIdentification/cbc:ID</t>
  </si>
  <si>
    <t>El valor del Tag UBL tiene un ind_estado diferente "00" en el listado</t>
  </si>
  <si>
    <t>El valor del Tag UBL tiene un ind_condicion diferente a "00" en el listado</t>
  </si>
  <si>
    <t xml:space="preserve">Se encuentra afecto exclusivamente solo a los tributos Renta de primera categoría, Renta de segunda categoría o Renta de cuarta categoría (no está afecto a ningún otro tributo distinto de los indicados)
</t>
  </si>
  <si>
    <t>Afectacion</t>
  </si>
  <si>
    <t>Apellidos y Nombres o denominacion o razón social del transportista</t>
  </si>
  <si>
    <t>El formato del Tag UBL es diferente a alfanumérico de hasta 250 caracteres (se considera cualquier carácter incluido espacio, no se permite ningún otro "whitespace character": salto de línea, tab, fin de línea, etc. Tampoco se permite solo espacios en blanco)</t>
  </si>
  <si>
    <t>/DespatchAdvice/cac:Shipment/cac:ShipmentStage/cac:CarrierParty/cac:PartyLegalEntity/cbc:CompanyID</t>
  </si>
  <si>
    <t>Si el Tag UBL existe y es diferente de vacío, el formato del Tag UBL es diferente a alfanumérico de hasta 20 caracteres (solo se permite letras y números, no se permite ningún otro 'whitespace character': espacio, salto de línea, tab, fin de línea, etc. Tampoco se permite solo espacios en blanco o solamente ceros)</t>
  </si>
  <si>
    <t>Entidad emisora de la autorización especial - Transportista
Número de autorización especial  emitido por la entidad - Transportista</t>
  </si>
  <si>
    <t>Si el Tag UBL existe y es diferente de vacío, el formato del Tag UBL es diferente a alfanumérico de 3 a 50 caracteres (se considera cualquier carácter incluido espacio, no se permite ningún otro 'whitespace character': salto de línea, tab, fin de línea, etc. Tampoco se permite solo espacios en blanco)</t>
  </si>
  <si>
    <t>(Catálogo N° D-37)</t>
  </si>
  <si>
    <r>
      <t>Documento relacionado</t>
    </r>
    <r>
      <rPr>
        <i/>
        <sz val="9"/>
        <rFont val="Calibri"/>
        <family val="2"/>
        <scheme val="minor"/>
      </rPr>
      <t xml:space="preserve"> - solo se permite un documento, excepto hasta 2 si se ingresa alguno de los códigos "31", "65", "66", "67", "68", "69", o más de 2 si se ingresa código "09" con serie electrónica</t>
    </r>
  </si>
  <si>
    <t>Si existe 'Código del tipo de documento relacionado' y es diferente de vacío, y no existe el Tag UBL o es vacío</t>
  </si>
  <si>
    <t>El formato es diferente a alfanumérico de hasta 120 caracteres (se considera cualquier carácter incluido espacio, no se permite ningún otro "whitespace character": salto de línea, tab, fin de línea, etc. Tampoco se permite solo espacios en blanco)</t>
  </si>
  <si>
    <t>Si existe un 'Documento relacionado' con 'Código del tipo de documento relacionado' igual a "31", "65", "66", "67", "68", "69", existe más de dos 'Documento relacionado' (cac:AdditionalDocumentReference con cbc:DocumentTypeCode diferente de vacío)</t>
  </si>
  <si>
    <t>3345</t>
  </si>
  <si>
    <t>Si no existe un 'Documento relacionado' con 'Código del tipo de documento relacionado' igual a "31", "65", "66", "67", "68", "69", y no existe un 'Documento relacionado' con 'Código del tipo de documento relacionado' igual a "09" con número de serie que no empieza con número, existe más de un 'Documento relacionado' (cac:AdditionalDocumentReference con cbc:DocumentTypeCode diferente de vacío)</t>
  </si>
  <si>
    <t>3346</t>
  </si>
  <si>
    <t>Si el 'Código del tipo de documento relacionado' es '09', el formato del Tag UBL es diferente a &lt;Serie&gt;-&lt;Numero&gt; con la siguiente estructura:
- [T][A-Z0-9]{3}-[0-9]{1,8}
- (EG07)-[0-9]{1,8}
- (EG02)-[0-9]{1,8}
- [0-9]{1,4}-[0-9]{1,8}
El campo &lt;Numero&gt; debe ser mayor a cero</t>
  </si>
  <si>
    <t>Si el 'Código del tipo de documento relacionado' es '31', el formato del Tag UBL es diferente a &lt;Serie&gt;-&lt;Numero&gt; con la siguiente estructura:
- [V][A-Z0-9]{3}-[0-9]{1,8}
- (EG03)-[0-9]{1,8}
- (EG04)-[0-9]{1,8}
El campo &lt;Numero&gt; debe ser mayor a cero</t>
  </si>
  <si>
    <t>Si el 'Código del tipo de documento relacionado' es  '82', '65', '66', '67', '68' o '69', el formato del Tag UBL es diferente a alfanumérico de hasta 100 caracteres (se considera cualquier carácter, no permite 'whitespace character': espacio, salto de línea, fin de línea, tab, etc.)</t>
  </si>
  <si>
    <t xml:space="preserve">Si el 'Código de tipo de documento' es '31', el valor del Tag UBL no se encuentra en el listado con estado de "Baja - por cambio de destinatario" 
</t>
  </si>
  <si>
    <t>Si el 'Código de tipo de documento' es '80' y se encuentra referenciada en otras GRE - remitente o GRE - transportista según el listado en los últimos 15 días calendario contados a partir de la fecha de recepción de la GRE</t>
  </si>
  <si>
    <t xml:space="preserve">Si existe el Tag UBL y el código de tipo de documento es '80', el valor del Tag UBL no se encuentra en el listado en los últimos 15 días calendario contados a partir de la fecha de recepción de la GRE
</t>
  </si>
  <si>
    <t>Si el 'Código de tipo de documento' es '09' y la serie no empieza con número, el valor del Tag UBL no se encuentra en el listado para el emisor de documento</t>
  </si>
  <si>
    <t>3433</t>
  </si>
  <si>
    <t>Si el 'Código de tipo de documento' es '01', '03', '04', '09' o '48' y la serie empieza con número, el valor del Tag UBL no se encuentra en el listado para el emisor de documento</t>
  </si>
  <si>
    <t>/DespatchAdvice/cac:AdditionalDocumentReference/cac:IssuerParty/cac:PartyIdentification/cbc:ID (Número de RUC del emisor del documento)</t>
  </si>
  <si>
    <t>Si el 'Código del tipo de documento relacionado' es '01', '03', '04', '12', '48', '09', '31' no existe el Tag UBL o es vacío</t>
  </si>
  <si>
    <t>Si el Tag UBL existe y es diferente de vacío y el 'Código del tipo de documento relacionado' es '09', y la serie no empieza con número, el valor del Tag UBL es diferente al RUC del remitente</t>
  </si>
  <si>
    <t>Si el Tag UBL existe y es diferente de vacío y el 'Código del tipo de documento relacionado' es '31', y la serie no empieza con número, el valor del Tag UBL es diferente al RUC del transportista</t>
  </si>
  <si>
    <t>Si el 'Código del tipo de documento relacionado' es '01', '03', '04', '12', '48', '09', '31', el atributo del atributo no existe o es diferente a 6 (RUC)</t>
  </si>
  <si>
    <t>/DespatchAdvice/cac:Shipment/cac:Delivery/cac:Despatch/cac:DespatchParty/cac:PartyIdentification/cbc:ID@schemeID (Tipo de documento de identidad)</t>
  </si>
  <si>
    <t>2541</t>
  </si>
  <si>
    <t>El valor del atributo no está en el listado</t>
  </si>
  <si>
    <t>2542</t>
  </si>
  <si>
    <t>/DespatchAdvice/cac:Shipment/cac:Delivery/cac:Despatch/cac:DespatchParty/cac:PartyIdentification/cbc:ID (Número de documento de identidad)</t>
  </si>
  <si>
    <t>3383</t>
  </si>
  <si>
    <t>Si el tipo y número de documento de identidad del tranportista es el mismo que el remitente</t>
  </si>
  <si>
    <t>Si "Tipo de documento de identidad del remitente" es "6" y el formato del Tag UBL es diferente a numérico de 11 dígitos</t>
  </si>
  <si>
    <t>3384</t>
  </si>
  <si>
    <t>Si "Tipo de documento de identidad del remitente" es "6", el valor del Tag UBL no se encuentra en el listado</t>
  </si>
  <si>
    <t>3385</t>
  </si>
  <si>
    <t>Si 'Tipo de documento de identidad del remitente' es "6" (RUC), el valor del Tag UBL tiene un ind_estado diferente "00" en el listado</t>
  </si>
  <si>
    <t>4420</t>
  </si>
  <si>
    <t>Si 'Tipo de documento de identidad del remitente' es "6" (RUC), el valor del Tag UBL tiene un ind_condicion diferente a "00" en el listado</t>
  </si>
  <si>
    <t>4421</t>
  </si>
  <si>
    <t xml:space="preserve">Si 'Tipo de documento de identidad del remitente' es '1', el valor del Tag UBL no se encuentra en base RENIEC
</t>
  </si>
  <si>
    <t>3386</t>
  </si>
  <si>
    <t>Si 'Tipo de documento de identidad del remitente' es diferente a '1' y diferente de '6', el formato del Tag UBL es diferente a alfanumérico de hasta 15 caracteres (se considera cualquier carácter, no permite 'whitespace character': espacio, salto de línea, fin de línea, tab, etc.)</t>
  </si>
  <si>
    <t>Apellidos y nombres, denominacion o razón social del remitente</t>
  </si>
  <si>
    <t>/DespatchAdvice/cac:Shipment/cac:Delivery/cac:Despatch/cac:DespatchParty/cac:PartyLegalEntity/cbc:RegistrationName</t>
  </si>
  <si>
    <t>3387</t>
  </si>
  <si>
    <t>4422</t>
  </si>
  <si>
    <t>/DespatchAdvice/cac:DeliveryCustomerParty/cac:Party/cac:PartyIdentification/cbc:ID@schemeID (Tipo de documento de identidad)</t>
  </si>
  <si>
    <t>Si el 'Número de documento del destinatario' es diferente de vacío, no existe el atributo o es vacío</t>
  </si>
  <si>
    <t>/DespatchAdvice/cac:DeliveryCustomerParty/cac:Party/cac:PartyIdentification/cbc:ID (Número de documento de identidad)</t>
  </si>
  <si>
    <t>Si 'Tipo de documento de identidad del destinatario' es "6", el formato del Tag UBL es diferente a numérico de 11 dígitos</t>
  </si>
  <si>
    <t>Si 'Tipo de documento de identidad del destinatario' es "6", el valor del Tag UBL no se encuentra en el listado</t>
  </si>
  <si>
    <t>Si 'Tipo de documento de identidad del destinatario' es "6" (RUC), el valor del Tag UBL tiene un ind_estado diferente "00" en el listado</t>
  </si>
  <si>
    <t>Si 'Tipo de documento de identidad del destinatario' es "6" (RUC), el valor del Tag UBL tiene un ind_condicion diferente a "00" en el listado</t>
  </si>
  <si>
    <t>Si "Tipo de documento de identidad del destinatario" es "1" y el formato del Tag UBL es diferente a numérico de 8 dígitos</t>
  </si>
  <si>
    <t>Si 'Tipo de documento de identidad del destinatario' es "1", el valor del Tag UBL no se encuentra en el listado</t>
  </si>
  <si>
    <t>Si existe 'Documento relacionado' con 'Código de tipo de documento relacionado' igual a  '09' y la serie no empieza con número y consigna 'Motivo de traslado' diferente a '18', el valor del Tag UBL es diferente al 'tipo y número de documento de identidad del destinatario' en dicho documento</t>
  </si>
  <si>
    <t>3434</t>
  </si>
  <si>
    <t>Apellidos y nombres, denominacion o razón social del destinatario</t>
  </si>
  <si>
    <t>Si el Tag UBL existe y es diferente de vacío, el formato del Tag UBL es diferente a alfanumérico de hasta 250 caracteres (se considera cualquier carácter incluido espacio, no se permite ningún otro "whitespace character": salto de línea, tab, fin de línea, etc. Tampoco se permite solo espacios en blanco)</t>
  </si>
  <si>
    <t>Bienes a transportar</t>
  </si>
  <si>
    <t xml:space="preserve">(Si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no existe al menos un Bien a transportar con 'Cantidad' mayor a cero (cac:DespatchLine con cbc:DeliveredQuantity mayor a cero)
</t>
  </si>
  <si>
    <t>3435</t>
  </si>
  <si>
    <t xml:space="preserve">(Si existe 'Documento relacionado' con 'Código de tipo de documento relacionado' igual a '09', con serie que no empieza con número)
o
(si existe 'Documento relacionado' con 'Código de tipo de documento relacionado' igual a '01'  o '04' con serie que no empieza con número y existe el  'Indicador de traslado total de bienes')
o
(si existe 'Documento relacionado' con 'Código de tipo de documento relacionado' igual a '50' o '52' y existe el  'Indicador de traslado total de bienes'), y existe algún Bien a transportar con 'Cantidad' mayor a cero (cac:DespatchLine con cbc:DeliveredQuantity mayor a cero)
</t>
  </si>
  <si>
    <t>4434</t>
  </si>
  <si>
    <t>(Si no existe 'Documento relacionado' con 'Código de tipo de documento relacionado' igual a '09' con serie que empieza con número) 
Y
(Si no existe 'Documento relacionado' con 'Código de tipo de documento relacionado' igual a '82') 
Y
(Si no existe 'Documento relacionado' con 'Código de tipo de documento relacionado' igual a '01' o '04' con serie que empieza con número o no existe 'Indicador de traslado total de bienes') 
Y
(Si no existe 'Documento relacionado' con 'Código de tipo de documento relacionado' igual a '03', '12' o '48' o no existe 'Indicador de traslado total de bienes'),
el Tag UBL existe con valor "0"</t>
  </si>
  <si>
    <t>3458</t>
  </si>
  <si>
    <t>Cantidad</t>
  </si>
  <si>
    <t>(Si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el Tag UBL no existe</t>
  </si>
  <si>
    <t>Unidad de medida</t>
  </si>
  <si>
    <t>(Catálogo N.° 03)
(Catálogo N.° 65)</t>
  </si>
  <si>
    <t>(Si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el atributo no existe o está vacío</t>
  </si>
  <si>
    <t>Si existe el atributo, el 'Código del tipo de documento relacionado' es diferente a '50' y '52', el valor del atributo no se encuentra en el listado Catálogo 03</t>
  </si>
  <si>
    <t>Si existe el atributo, el 'Código del tipo de documento relacionado' es igual a '50' o '52', el valor del atributo no se encuentra en el listado Catálogo 65</t>
  </si>
  <si>
    <t xml:space="preserve">Descripción detallada </t>
  </si>
  <si>
    <t xml:space="preserve">Item </t>
  </si>
  <si>
    <t>(Si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el Tag UBL no existe o está vacío</t>
  </si>
  <si>
    <t>Si existe el Tag UBL, el formato del Tag UBL es diferente a alfanumérico de 3 a 500 caracteres (se considera cualquier carácter, permite "whitespace character": espacio, salto de línea, fin de línea, tab, etc. Tampoco se permite solo espacios en blanco)</t>
  </si>
  <si>
    <t>(Catálogo N.° 25)</t>
  </si>
  <si>
    <t>(Si existe 'Documento relacionado' con 'Código de tipo de documento relacionado' igual a '01', '03', '04', '12', '48', '50' o '52' y no existe el 'Indicador de traslado total de bienes' y existe el 'Indicador de bien normalizado' con valor '1')
o
(no existe 'Documento relacionado' con 'Código de tipo de documento relacionado' igual a '01', '03', '04', '12', '48', '50' o '52' o '09' o '82' y existe el 'Indicador de bien normalizado' con valor '1'), no existe el Tag UBL o es vacío</t>
  </si>
  <si>
    <t>Si existe el Tag UBL y es diferente de vacío, el valor del Tag UBL es diferente a numérico de hasta 8 caracteres (no acepta solamente ceros)</t>
  </si>
  <si>
    <t>Si existe el Tag UBL y es diferente de vacío, el valor del Tag UBL no está en el listado</t>
  </si>
  <si>
    <t>(Si existe el Tag UBL y es diferente de vacío, y existe el 'Indicador de bien normalizado' con valor '1'), el valor del Tag UBL no está en el listado de bienes normalizados</t>
  </si>
  <si>
    <t>Si existe el Tag UBL y es diferente de vacío, el valor del Tag UBL es diferente a alfanumérico de hasta 14 caracteres</t>
  </si>
  <si>
    <t>27
28</t>
  </si>
  <si>
    <t>Partida arancelaria
Indicador de bien normalizado</t>
  </si>
  <si>
    <t>Si existe el Tag UBL y es vacío</t>
  </si>
  <si>
    <t>(Si existe 'Documento relacionado' con 'Código de tipo de documento relacionado' igual a '01', '03', '04', '12', '48', '50' o '52' y no existe el 'Indicador de traslado total de bienes' y existe el 'Indicador de bien normalizado' con valor '1')
o
(no existe 'Documento relacionado' con 'Código de tipo de documento relacionado' igual a '01', '03', '04', '12', '48', '50' o '52' o '09' o '82' y existe el 'Indicador de bien normalizado' con valor '1'), no existe el Tag con código '7020' (Partida arancelaria)</t>
  </si>
  <si>
    <t>(Si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y existe 'Documento relacionado' con 'Código de tipo de documento' igual a '80', no existe al menos un bien (cac:DespatchAdviceLine) que contenga el código '7020' (Partida arancelaria)</t>
  </si>
  <si>
    <t>n10</t>
  </si>
  <si>
    <t>/DespatchAdvice/cac:DespatchLine/cac:Item/cac:AdditionalItemProperty/cbc:Value (Partida arancelaria)</t>
  </si>
  <si>
    <t>De existir 'Código del concepto' igual a '7020' o '7022', no existe el tag o es vacío.</t>
  </si>
  <si>
    <t>Si el 'Código del concepto' es '7020', el valor del Tag UBL es diferente a numérico de hasta 10 caracteres (no acepta solamente ceros)</t>
  </si>
  <si>
    <t>Si el 'Código de concepto' es '7020', el valor del Tag UBL no se encuentra en el listado</t>
  </si>
  <si>
    <t>Si el 'Código del concepto' es '7020', y el 'Indicador de bien normalizado' es '1', el valor del Tag UBL no está en el listado de bienes normalizados</t>
  </si>
  <si>
    <t>"0" False
"1" True</t>
  </si>
  <si>
    <t>Si el 'Código de concepto' es '7022' y el valor del Tag UBL es '1', y no existe 'Documento relacionado' con 'Código de tipo de documento relacionado' igual a '01', '03', '04', '12', '48', '50', '52', '09' u '82', no existe 'Documento relacionado' con 'Código de tipo de documento relacionado' igual a '80'</t>
  </si>
  <si>
    <t>n6</t>
  </si>
  <si>
    <t>Direccion completa y detallada de partida</t>
  </si>
  <si>
    <t>Si no existe 'Documento relacionado' con 'Código de tipo de documento relacionado' igual a  '09' con serie que no empieza con número, y no existe 'Indicador de transbordo programado', no existe el Tag UBL o es vacío</t>
  </si>
  <si>
    <t>Si el Tag UBL existe, el formato del Tag UBL es diferente a alfanumérico de 3 a 500 caracteres (se considera cualquier carácter incluido espacio, no se permite ningún otro "whitespace character": salto de línea, tab, fin de línea, etc. Tampoco se permite solo espacios en blanco)</t>
  </si>
  <si>
    <t xml:space="preserve">/DespatchAdvice/cac:Shipment/cac:Delivery/cac:Despatch/cac:DespatchAddress/cac:LocationCoordinate/cbc:LatitudeDegreesMeasure (Longitud)
</t>
  </si>
  <si>
    <t>Si no existe 'Documento relacionado' con 'Código de tipo de documento relacionado' igual a  '09' con serie que no empieza con número y con 'Motivo de traslado' igual a '18' , y no existe 'Documento relacionado' con 'Código de tipo de documento relacionado' igual a  '09' con serie que empieza con número, no existe el Tag UBL o es vacío</t>
  </si>
  <si>
    <t>Si existe 'Documento relacionado' con 'Código de tipo de documento relacionado' igual a  '09' con serie que empieza con número, no existe el Tag UBL o es vacío</t>
  </si>
  <si>
    <t>4431</t>
  </si>
  <si>
    <t>Si el Tag UBL existe y es diferente de vacío, el formato del Tag UBL es diferente a numérico de 6 dígitos</t>
  </si>
  <si>
    <t>Direccion completa y detallada de llegada</t>
  </si>
  <si>
    <t>Si no existe 'Documento relacionado' con 'Código de tipo de documento relacionado' igual a  '09', y no existe el 'Indicador de transbordo programado', no existe el Tag UBL o es vacío</t>
  </si>
  <si>
    <t>Si existe 'Documento relacionado' con 'Código de tipo de documento relacionado' igual a '09' con serie que empieza con número, y no existe el 'Indicador de transbordo programado', no existe el Tag UBL o es vacío</t>
  </si>
  <si>
    <t>4178</t>
  </si>
  <si>
    <t>Si el Tag UBL existe y es diferente de vacío, el formato del Tag UBL es diferente a alfanumérico de 3 a 500 caracteres (se considera cualquier carácter incluido espacio, no se permite ningún otro "whitespace character": salto de línea, tab, fin de línea, etc. Tampoco se permite solo espacios en blanco)</t>
  </si>
  <si>
    <t>Vehículo principal</t>
  </si>
  <si>
    <t>Número de placa del vehiculo</t>
  </si>
  <si>
    <t>El Tag UBL no existe o está vacío</t>
  </si>
  <si>
    <t xml:space="preserve">/DespatchAdvice/cac:Shipment/cac:TransportHandlingUnit/cac:TransportEquipment/cac:ApplicableTransportMeans/cbc:RegistrationNationalityID (Número de documento)
</t>
  </si>
  <si>
    <t>Si el Tag UBL existe y es diferente de vacío, el formato del Tag UBL es diferente a alfanumérico de 10 a 15  caracteres (solo se permite letras y números,  no se permite ningún otro "whitespace character": espacio, salto de línea, tab, fin de línea, etc., tampoco se permite solamente ceros)</t>
  </si>
  <si>
    <t>Entidad emisora de la autorización - vehículo principal
Número de autorización del vehículo emitido por la entidad - vehículo principal</t>
  </si>
  <si>
    <t>/DespatchAdvice/cac:Shipment/cac:TransportHandlingUnit/cac:TransportEquipment/cac:ShipmentDocumentReference/cbc:ID@schemeID (Entidad que emite el documento)</t>
  </si>
  <si>
    <r>
      <t>Vehiculos Secundarios -</t>
    </r>
    <r>
      <rPr>
        <i/>
        <sz val="9"/>
        <rFont val="Calibri"/>
        <family val="2"/>
        <scheme val="minor"/>
      </rPr>
      <t xml:space="preserve"> Incremental hasta 2</t>
    </r>
  </si>
  <si>
    <t>Si existe 'Número de placa del vehículo secundario' diferente de vacío, el Tag UBL no existe o es vacío</t>
  </si>
  <si>
    <t>Si el Tag UBL existe y es diferente de vacío, el formato del Tag UBL es diferente a alfanumérico de 10 a 15  caracteres (solo se permite letras y números, no se permite ningún otro "whitespace character": espacio, salto de línea, tab, fin de línea, etc., tampoco se permite solamente ceros)</t>
  </si>
  <si>
    <t>Entidad emisora de la autorización - vehículo secundario
Número de autorización del vehículo emitido por la entidad - vehículo secundario</t>
  </si>
  <si>
    <t>/DespatchAdvice/cac:Shipment/cac:TransportHandlingUnit/cac:TransportEquipment/cac:AttachedTransportEquipment/cac:ShipmentDocumentReference/cbc:ID@schemeID (Entidad que emite el documento)</t>
  </si>
  <si>
    <t>No existe un tag cac:DriverPerson con 'Tipo de Conductor' igual a 'Principal'</t>
  </si>
  <si>
    <t>/DespatchAdvice/cac:Shipment/cac:ShipmentStage/cac:DriverPerson/cbc:ID@schemeID (Tipo de documento de identidad)</t>
  </si>
  <si>
    <t>Si el 'Tipo de Conductor' es igual a 'Principal', el atributo no existe o es vacío</t>
  </si>
  <si>
    <t xml:space="preserve">Si el 'Tipo de Conductor' es igual a 'Principal', el valor del atributo es distinto al Catálogo N° 06 o es igual a '6' </t>
  </si>
  <si>
    <t>/DespatchAdvice/cac:Shipment/cac:ShipmentStage/cac:DriverPerson/cbc:ID (Número de documento de identidad)</t>
  </si>
  <si>
    <t>Si el 'Tipo de Conductor' es igual a 'Principal', el Tag UBL no existe o es vacío</t>
  </si>
  <si>
    <t>Si el 'Tipo de documento de identidad del conductor' es "1", el fomato del Tag UBL es diferente a numérico de 8 dígitos</t>
  </si>
  <si>
    <t xml:space="preserve">Si el 'Tipo de documento de identidad del conductor' es "1", el valor del Tag UBL no se encuentra en el listado
</t>
  </si>
  <si>
    <t>Si el 'Tipo de documento de identidad del conductor' es diferente a '1', el formato del Tag UBL es diferente a alfanumérico de hasta 15 caracteres (se considera cualquier carácter, no se permite ningún otro 'whitespace character': espacio, salto de línea, tab, fin de línea, etc.)</t>
  </si>
  <si>
    <t>Si el Tag UBL existe y es diferente de vacío, el formato del Tag UBL es diferente a alfanumérico de hasta 250 caracteres (se considera cualquier carácter incluido espacio, no se permite ningún otro 'whitespace character': salto de línea, tab, fin de línea, etc. Tampoco se permite solo espacios en blanco)</t>
  </si>
  <si>
    <t>Si el Tag UBL existe y es diferente de vacío, el formato del Tag UBL es diferente a alfanumérico de 9 a 10 caracteres (solo se permiten letras y números, no se permite solamente ceros)</t>
  </si>
  <si>
    <r>
      <t xml:space="preserve">Conductores Secundarios </t>
    </r>
    <r>
      <rPr>
        <sz val="9"/>
        <rFont val="Calibri"/>
        <family val="2"/>
        <scheme val="minor"/>
      </rPr>
      <t xml:space="preserve">- </t>
    </r>
    <r>
      <rPr>
        <i/>
        <sz val="9"/>
        <rFont val="Calibri"/>
        <family val="2"/>
        <scheme val="minor"/>
      </rPr>
      <t>Incremental hasta 2</t>
    </r>
  </si>
  <si>
    <t>Existe más de dos tag cac:DriverPerson con 'Tipo de Conductor' igual a 'Secundario'</t>
  </si>
  <si>
    <t>4376</t>
  </si>
  <si>
    <t>Existe más de un tag cac:DriverPerson con 'Tipo de Conductor' igual a 'Secundario' y 'Número de licencia de conducir' secundario iguales (no se considera los 'Números de licencia de conducir' con valor vacío)</t>
  </si>
  <si>
    <t>Si el 'Tipo de Conductor' es igual a 'Secundario' y existe 'Número de documento de identidad' de conductor secundario con valor diferente de vacío, no existe el atributo o es vacío</t>
  </si>
  <si>
    <t xml:space="preserve">Si existe el atributo y es diferente de vacío, y el 'Tipo de Conductor' es igual a 'Secundario', el valor del atributo es distinto al Catálogo N° 06 o es igual a '6' </t>
  </si>
  <si>
    <t>Si el 'Tipo de Conductor' es igual a 'Secundario' y existe 'Tipo de documento de identidad' de conductor secundario con valor diferente de vacío, el valor del Tag UBL es vacío</t>
  </si>
  <si>
    <t>Si el 'Tipo de Conductor' es igual a 'Secundario' y existe 'Número de licencia de conducir' de conductor secundario con valor diferente de vacío, no existe el Tag UBL o es vacío</t>
  </si>
  <si>
    <t>Si el 'Tipo de documento de identidad del conductor' es diferente a '1' y diferente de vacío, el formato del Tag UBL es diferente a alfanumérico de hasta 15 caracteres (se considera cualquier carácter, no se permite ningún otro 'whitespace character': espacio, salto de línea, tab, fin de línea, etc.)</t>
  </si>
  <si>
    <t>Si el 'Tipo de Conductor' es igual a 'Secundario' y existe 'Número de documento de identidad' de conductor secundario con valor diferente de vacío, no existe el Tag UBL o es vacío</t>
  </si>
  <si>
    <t>Si el Tag UBL existe y es diferente de vacío, el formato del Tag UBL es diferente a alfanumérico de 9 a 10 caracteres (no se permite solamente ceros)</t>
  </si>
  <si>
    <t>Datos del traslado</t>
  </si>
  <si>
    <t>Si existe y el valor del Tag UBL es menor a la 'Fecha de emisión' de la guía (cbc:IssueDate)</t>
  </si>
  <si>
    <t>Si existe y el Tag UBL no cumple con el formato</t>
  </si>
  <si>
    <t xml:space="preserve">Anotación opcional sobre los bienes a transportar
</t>
  </si>
  <si>
    <t>"0"</t>
  </si>
  <si>
    <t>(Si existe 'Documento relacionado' con 'Código de tipo de documento relacionado' igual a '09' con serie que empieza con número) 
o 
(existe 'Documento relacionado' con 'Código de tipo de documento relacionado' igual a  '82'), no existe un cac:DespatchLine con cbc:ID con valor cero y que contenga el campo cac:Item/cbc:Description diferente de vacío</t>
  </si>
  <si>
    <t>4429</t>
  </si>
  <si>
    <t>(Si existe 'Indicador de traslado total de bienes' y existe 'Documento relacionado' con 'Código de tipo de documento relacionado' igual a '01' o '04', con serie que empieza con número)
o
(existe 'Indicador de traslado total de bienes' y existe 'Documento relacionado' con 'Código de tipo de documento relacionado' igual a  '03', '12' o '48'),  no existe un cac:DespatchLine con cbc:ID con valor cero y que contenga el campo cac:Item/cbc:Description diferente de vacío</t>
  </si>
  <si>
    <t>Si existe el Tag UBL y es diferente de vacío, el formato del Tag UBL es diferente a alfanumérico de 3 a 500 caracteres (se considera cualquier carácter, permite "whitespace character": espacio, salto de línea, fin de línea, tab, etc. Tampoco se permite solo espacios en blanco)</t>
  </si>
  <si>
    <t>4430</t>
  </si>
  <si>
    <t>"KGM" Kilogramos
"TNE" Toneladas</t>
  </si>
  <si>
    <t>Indicador de traslado total de bienes</t>
  </si>
  <si>
    <t>an…50</t>
  </si>
  <si>
    <t>"SUNAT_Envio_IndicadorTrasladoTotal"</t>
  </si>
  <si>
    <t>Existe más de un Tag UBL con valor "SUNAT_Envio_IndicadorTrasladoTotal"</t>
  </si>
  <si>
    <t>Si existe el Tag UBL y las 6 primeras posiciones es "SUNAT_", el valor del Tag UBL es diferente de alguno de los siguientes valores:
SUNAT_Envio_IndicadorTransbordoProgramado
SUNAT_Envio_IndicadorRetornoVehiculoEnvaseVacio
SUNAT_Envio_IndicadorRetornoVehiculoVacio
SUNAT_Envio_IndicadorTrasporteSubcontratado
SUNAT_Envio_IndicadorPagadorFlete_Remitente
SUNAT_Envio_IndicadorPagadorFlete_Subcontratador
SUNAT_Envio_IndicadorPagadorFlete_Tercero
SUNAT_Envio_IndicadorTrasladoTotal</t>
  </si>
  <si>
    <t>Indicador de transporte subcontratado</t>
  </si>
  <si>
    <t>"SUNAT_Envio_IndicadorTrasporteSubcontratado"</t>
  </si>
  <si>
    <t>Existe más de un Tag UBL con valor "SUNAT_Envio_IndicadorTrasporteSubcontratado"</t>
  </si>
  <si>
    <t>Indicador de pagador de flete</t>
  </si>
  <si>
    <t>"SUNAT_Envio_IndicadorPagadorFlete_Remitente"
"SUNAT_Envio_IndicadorPagadorFlete_Subcontratador"
"SUNAT_Envio_IndicadorPagadorFlete_Tercero"</t>
  </si>
  <si>
    <t>No existe un Tag UBL con valor "SUNAT_Envio_IndicadorPagadorFlete_Remitente" o
"SUNAT_Envio_IndicadorPagadorFlete_Subcontratador" o
"SUNAT_Envio_IndicadorPagadorFlete_Tercero"</t>
  </si>
  <si>
    <t>4388</t>
  </si>
  <si>
    <t>Existe más de un Tag UBL con las primeras 34 posiciones con valor "SUNAT_Envio_IndicadorPagadorFlete_"</t>
  </si>
  <si>
    <t>Datos de empresa que subcontrata</t>
  </si>
  <si>
    <t>Tipo y número de documento de identidad  del subcontratador</t>
  </si>
  <si>
    <t>/DespatchAdvice/cac:Shipment/cac:Consignment/cbc:ID (Identificador obligatorio)</t>
  </si>
  <si>
    <t xml:space="preserve">&lt;&lt;&lt; SIN VALIDACIÓN &gt;&gt;&gt; </t>
  </si>
  <si>
    <t>/DespatchAdvice/cac:Shipment/cac:Consignment/cac:LogisticsOperatorParty/cac:PartyIdentification/cbc:ID@schemeID (Tipo de documento)</t>
  </si>
  <si>
    <t>Si existe el 'Indicador de transporte subcontratado', no existe el atributo o es vacío</t>
  </si>
  <si>
    <t>4425</t>
  </si>
  <si>
    <t>Si existe el atributo y el valor del atributo es diferente a '6'</t>
  </si>
  <si>
    <t>3391</t>
  </si>
  <si>
    <t>/DespatchAdvice/cac:Shipment/cac:Consignment/cac:LogisticsOperatorParty/cac:PartyIdentification/cbc:ID (Número de RUC)</t>
  </si>
  <si>
    <t>Si existe el 'Indicador de transporte subcontratado', no existe el Tag UBL o es vacío</t>
  </si>
  <si>
    <t>4424</t>
  </si>
  <si>
    <t xml:space="preserve">Si existe el Tag UBL, el valor del Tag UBL es el mismo que el 'Número de RUC transportista' </t>
  </si>
  <si>
    <t>3390</t>
  </si>
  <si>
    <t>Si existe el Tag UBL y es diferente de vacío, el valor del Tag UBL no se encuentra en el listado</t>
  </si>
  <si>
    <t>3389</t>
  </si>
  <si>
    <t>Apellidos y nombres, denominacion o razón social del subcontratador</t>
  </si>
  <si>
    <t>/DespatchAdvice/cac:Shipment/cac:Consignment/cac:LogisticsOperatorParty/cac:PartyLegalEntity/cbc:RegistrationName</t>
  </si>
  <si>
    <t>4426</t>
  </si>
  <si>
    <t>Si existe el Tag UBL y es diferente de vacío, el formato del Tag UBL es diferente a alfanumérico de hasta 250 caracteres (se considera cualquier carácter incluido espacio, no se permite ningún otro "whitespace character": salto de línea, tab, fin de línea, etc. Tampoco se permite solo espacios en blanco)</t>
  </si>
  <si>
    <t>4427</t>
  </si>
  <si>
    <r>
      <t>Datos quien paga el servicio de transporte</t>
    </r>
    <r>
      <rPr>
        <b/>
        <i/>
        <sz val="9"/>
        <rFont val="Calibri"/>
        <family val="2"/>
        <scheme val="minor"/>
      </rPr>
      <t xml:space="preserve"> - solo se completa cuando paga un tercero</t>
    </r>
  </si>
  <si>
    <t>Tipo y número de documento de identidad de quien paga el servicio</t>
  </si>
  <si>
    <t>/DespatchAdvice/cac:OriginatorCustomerParty/cac:Party/cac:PartyIdentification/cbc:ID@schemeID (Tipo de documento de identidad)</t>
  </si>
  <si>
    <t>Si existe el 'Indicador de pagador de flete' con valor  'SUNAT_Envio_IndicadorPagadorFlete_Tercero', no existe el atributo o es vacío</t>
  </si>
  <si>
    <t>4401</t>
  </si>
  <si>
    <t>Si existe el 'Indicador de pagador de flete' con valor  'SUNAT_Envio_IndicadorPagadorFlete_Tercero', el valor del atributo no está en el listado</t>
  </si>
  <si>
    <t>3399</t>
  </si>
  <si>
    <t>/DespatchAdvice/cac:OriginatorCustomerParty/cac:Party/cac:PartyIdentification/cbc:ID (Número de documento de identidad)</t>
  </si>
  <si>
    <t>Si existe el 'Indicador de pagador de flete' con valor   'SUNAT_Envio_IndicadorPagadorFlete_Tercero', no existe el Tag UBL o es vacío</t>
  </si>
  <si>
    <t>4402</t>
  </si>
  <si>
    <t>Si 'Tipo de documento de identidad de quien paga el servicio' es '1' y el fomato del Tag UBL es diferente a numérico de 8 dígitos</t>
  </si>
  <si>
    <t>3400</t>
  </si>
  <si>
    <t xml:space="preserve">Si 'Tipo de documento de identidad de quien paga el servicio' es '1', el valor del Tag UBL no se encuentra en base RENIEC
</t>
  </si>
  <si>
    <t>3401</t>
  </si>
  <si>
    <t>Si 'Tipo de documento de identidad de quien paga el servicio' es '6', el formato del Tag UBL es diferente a numérico de 11 dígitos</t>
  </si>
  <si>
    <t>Si 'Tipo de documento de identidad de quien paga el servicio' es '6', el valor del Tag UBL no se encuentra en el listado</t>
  </si>
  <si>
    <t>3402</t>
  </si>
  <si>
    <t>Si existe 'Tipo de documento de identidad de quien paga el servicio' y es diferente a '1', '6' y vacío, el formato del Tag UBL es diferente a alfanumérico de hasta 15 caracteres (se considera cualquier carácter, no permite 'whitespace character': espacio, salto de línea, fin de línea, tab, etc.)</t>
  </si>
  <si>
    <t>Apellidos y nombres, denominacion o razón social de quien paga el servicio</t>
  </si>
  <si>
    <t>/DespatchAdvice/cac:OriginatorCustomerParty/cac:Party/cac:PartyLegalEntity/cbc:RegistrationName</t>
  </si>
  <si>
    <t>Si existe el 'Indicador de pagador de flete' con valor  'SUNAT_Envio_IndicadorPagadorFlete_Tercero', no existe el Tag UBL o es vacío</t>
  </si>
  <si>
    <t>4370</t>
  </si>
  <si>
    <t>Si existe el Tag UBL y es diferente de vacío, el formato del Tag UBL es diferente a alfanumérico de hasta 250 caracteres (se considera cualquier carácter incluido espacio, no se permite ningún otro 'whitespace character': salto de línea, tab, fin de línea, etc. Tampoco se permite solo espacios en blanco)</t>
  </si>
  <si>
    <t>4423</t>
  </si>
  <si>
    <t xml:space="preserve">    </t>
  </si>
  <si>
    <t>obsGuia</t>
  </si>
  <si>
    <t>nroRucEmisorSwf</t>
  </si>
  <si>
    <t>razonSocialSwf</t>
  </si>
  <si>
    <t>tipDocuEmisorSwf</t>
  </si>
  <si>
    <t>tipDocDestinatario</t>
  </si>
  <si>
    <t>numDocDestinatario</t>
  </si>
  <si>
    <t>rznSocialDestinatario</t>
  </si>
  <si>
    <t>motTrasladoDatosEnvio</t>
  </si>
  <si>
    <t>desMotivoTrasladoDatosEnvio</t>
  </si>
  <si>
    <t>uniMedidaPesoBrutoDatosEnvio</t>
  </si>
  <si>
    <t>psoBrutoTotalBienesDatosEnvio</t>
  </si>
  <si>
    <t>numBultosDatosEnvio</t>
  </si>
  <si>
    <t>modTrasladoDatosEnvio</t>
  </si>
  <si>
    <t>fecInicioTrasladoDatosEnvio</t>
  </si>
  <si>
    <t>tipDocTransportista</t>
  </si>
  <si>
    <t>numDocTransportista</t>
  </si>
  <si>
    <t>nomTransportista</t>
  </si>
  <si>
    <t>ubiPartida</t>
  </si>
  <si>
    <t>dirPartida</t>
  </si>
  <si>
    <t>codItem</t>
  </si>
  <si>
    <t>numDocRel</t>
  </si>
  <si>
    <t>codTipDocRel</t>
  </si>
  <si>
    <t>Tipo de documento de identidad del remitente</t>
  </si>
  <si>
    <t>Número de documento de identidad del remitente</t>
  </si>
  <si>
    <t>/DespatchAdvice/cac:Shipment/cac:Delivery/cac:Despatch/cac:DespatchParty/cac:AgentParty/cac:PartyLegalEntity/cbc:CompanyID</t>
  </si>
  <si>
    <t xml:space="preserve">/DespatchAdvice/cac:Shipment/cac:Delivery/cac:Despatch/cac:DespatchParty/cac:AgentParty/cac:PartyLegalEntity/cbc:CompanyID@schemeID </t>
  </si>
  <si>
    <t>nroAutorizacionSwf</t>
  </si>
  <si>
    <t>codEntidadAutorizadoraSwf</t>
  </si>
  <si>
    <t>/DespatchAdvice/cac:AdditionalDocumentReference/cac:IssuerParty/cac:PartyIdentification/cbc:ID</t>
  </si>
  <si>
    <t>/DespatchAdvice/cac:AdditionalDocumentReference/cac:IssuerParty/cac:PartyIdentification/cbc:ID@schemeID</t>
  </si>
  <si>
    <t>Número de documento del emisor del documento</t>
  </si>
  <si>
    <t>Tipo de documento de identidad del emisor del documento relacionado</t>
  </si>
  <si>
    <t>Anexo V</t>
  </si>
  <si>
    <t>Anexo N.°8 : Catálogo de códigos</t>
  </si>
  <si>
    <t>No.</t>
  </si>
  <si>
    <t>Catálogo</t>
  </si>
  <si>
    <t>Código de tipo de documento</t>
  </si>
  <si>
    <t>Código</t>
  </si>
  <si>
    <t>Descripción</t>
  </si>
  <si>
    <t>Factura</t>
  </si>
  <si>
    <t>Boleta de venta</t>
  </si>
  <si>
    <t>04</t>
  </si>
  <si>
    <t>Liquidación de compra</t>
  </si>
  <si>
    <t>05</t>
  </si>
  <si>
    <t>Boletos de Transporte Aéreo que emiten las Compañías de Aviación Comercial por el servicio de transporte aéreo regular de pasajeros, emitido de manera manual, mecanizada o por medios electrónicos (BME)</t>
  </si>
  <si>
    <t>06</t>
  </si>
  <si>
    <t>Carta de porte aéreo</t>
  </si>
  <si>
    <t>07</t>
  </si>
  <si>
    <t>Nota de crédito</t>
  </si>
  <si>
    <t>08</t>
  </si>
  <si>
    <t>Nota de débito</t>
  </si>
  <si>
    <t>09</t>
  </si>
  <si>
    <t>Guía de remisión remitente</t>
  </si>
  <si>
    <t>Póliza emitida por las Bolsas de Valores</t>
  </si>
  <si>
    <t>12</t>
  </si>
  <si>
    <t>Ticket de máquina registradora</t>
  </si>
  <si>
    <t>13</t>
  </si>
  <si>
    <t>Documento emitido por bancos, instituciones financieras, crediticias y de seguros que se encuentren bajo el control de la Superintendencia de Banca y Seguros</t>
  </si>
  <si>
    <t>Recibo servicios públicos</t>
  </si>
  <si>
    <t>Boletos emitidos por el servicio de transporte terrestre regular urbano de pasajeros y el ferroviario público de pasajeros prestado en vía férrea local</t>
  </si>
  <si>
    <t>Boleto de viaje emitido por las empresas de transporte público interprovincial de pasajeros</t>
  </si>
  <si>
    <t>18</t>
  </si>
  <si>
    <t>Documentos emitidos por las AFP</t>
  </si>
  <si>
    <t>Boleto por atracciones y espectáculos públicos</t>
  </si>
  <si>
    <t>20</t>
  </si>
  <si>
    <t>Comprobante de retención</t>
  </si>
  <si>
    <t>Conocimiento de embarque por el servicio de transporte de carga marítima</t>
  </si>
  <si>
    <t>Pólizas de Adjudicación por remate o adjudicación de bienes</t>
  </si>
  <si>
    <t>Certificado de pago de regalías emitidas por PERUPETRO S.A.</t>
  </si>
  <si>
    <t>Etiquetas por el pago de la Tarifa Unificada de Uso de Aeropuerto – TUUA</t>
  </si>
  <si>
    <t>Documentos emitidos por la COFOPRI</t>
  </si>
  <si>
    <t>30</t>
  </si>
  <si>
    <t>Documentos emitidos por las empresas que desempeñan el rol adquirente en los sistemas de pago mediante tarjetas de crédito y débito, emitidas por bancos e instituciones financieras o crediticias, domiciliados o no en el país.</t>
  </si>
  <si>
    <t>31</t>
  </si>
  <si>
    <t>Guía de remisión transportista</t>
  </si>
  <si>
    <t>Documentos emitidos por recaudadoras de la Garantía de Red Principal</t>
  </si>
  <si>
    <t>Documento del Operador</t>
  </si>
  <si>
    <t>Documento del Partícipe</t>
  </si>
  <si>
    <t>Recibo de Distribución de Gas Natural</t>
  </si>
  <si>
    <t>Documentos que emitan los concesionarios del servicio de revisiones técnicas</t>
  </si>
  <si>
    <t>40</t>
  </si>
  <si>
    <t xml:space="preserve">Comprobante de Percepción </t>
  </si>
  <si>
    <t>41</t>
  </si>
  <si>
    <t>Comprobante de Percepción – Venta interna ( físico - formato impreso)</t>
  </si>
  <si>
    <t>Documentos emitidos por los adq. en los sistemas de pago por tarj. de crédito emitidas por ellas mismas</t>
  </si>
  <si>
    <t>Boleto de compañías de aviación transporte aéreo no regular</t>
  </si>
  <si>
    <t>Documentos emitidos por centros educativos y culturales, universidades, asociaciones y fundaciones</t>
  </si>
  <si>
    <t>BVME para transporte ferroviario de pasajeros</t>
  </si>
  <si>
    <t>56</t>
  </si>
  <si>
    <t>Comprobante de pago SEAE</t>
  </si>
  <si>
    <t>71</t>
  </si>
  <si>
    <t>Guía de remisión remitente complementaria</t>
  </si>
  <si>
    <t>72</t>
  </si>
  <si>
    <t>Guía de remisión transportista complementaria</t>
  </si>
  <si>
    <t>Nota de crédito especial</t>
  </si>
  <si>
    <t>Nota de débito especial</t>
  </si>
  <si>
    <t>Código de tipo de unidad de medida comercial</t>
  </si>
  <si>
    <t>UN/ECE Recommendation 20 Revision 13</t>
  </si>
  <si>
    <t>https://www.unece.org/fileadmin/DAM/uncefact/recommendations/rec20/rec20_Rev13e_2017.xls</t>
  </si>
  <si>
    <t>Código de tipo de documento de identidad</t>
  </si>
  <si>
    <t>0</t>
  </si>
  <si>
    <t>DOC.TRIB.NO.DOM.SIN.RUC</t>
  </si>
  <si>
    <t>1</t>
  </si>
  <si>
    <t>Documento Nacional de Identidad</t>
  </si>
  <si>
    <t>4</t>
  </si>
  <si>
    <t>Carnet de extranjería</t>
  </si>
  <si>
    <t>6</t>
  </si>
  <si>
    <t>Registro Unico de Contributentes</t>
  </si>
  <si>
    <t>7</t>
  </si>
  <si>
    <t>Pasaporte</t>
  </si>
  <si>
    <t>A</t>
  </si>
  <si>
    <t>Cédula Diplomática de identidad</t>
  </si>
  <si>
    <t>B</t>
  </si>
  <si>
    <t>DOC.IDENT.PAIS.RESIDENCIA-NO.D</t>
  </si>
  <si>
    <t>Tax Identification Number - TIN – Doc Trib PP.NN</t>
  </si>
  <si>
    <t>D</t>
  </si>
  <si>
    <t>Identification Number - IN – Doc Trib PP. JJ</t>
  </si>
  <si>
    <t>E</t>
  </si>
  <si>
    <t xml:space="preserve">TAM- Tarjeta Andina de Migración </t>
  </si>
  <si>
    <t>F</t>
  </si>
  <si>
    <t>Permiso Temporal de Permanencia - PTP</t>
  </si>
  <si>
    <t>G</t>
  </si>
  <si>
    <t>Salvoconducto</t>
  </si>
  <si>
    <t>Código de ubicación geográfica (UBIGEO)</t>
  </si>
  <si>
    <t>Catálogo de ubigeos del INEI</t>
  </si>
  <si>
    <t>https://www.datosabiertos.gob.pe/dataset/c%C3%B3digo-de-ubicaci%C3%B3n-geogr%C3%A1fica-en-el-per%C3%BA-instituto-nacional-de-estad%C3%ADstica-e-inform%C3%A1tica</t>
  </si>
  <si>
    <t>Código de modalidad de transporte</t>
  </si>
  <si>
    <t>Transporte público</t>
  </si>
  <si>
    <t>Transporte privado</t>
  </si>
  <si>
    <t>Código de motivo de traslado</t>
  </si>
  <si>
    <t>Venta</t>
  </si>
  <si>
    <t>Compra</t>
  </si>
  <si>
    <t>Venta con entrega a terceros</t>
  </si>
  <si>
    <t>Traslado entre establecimientos de la misma empresa</t>
  </si>
  <si>
    <t>Consignación</t>
  </si>
  <si>
    <t>Devolución</t>
  </si>
  <si>
    <t>Recojo de bienes transformados</t>
  </si>
  <si>
    <t>Importación</t>
  </si>
  <si>
    <t>Exportación</t>
  </si>
  <si>
    <t>Otros</t>
  </si>
  <si>
    <t>14</t>
  </si>
  <si>
    <t xml:space="preserve">Venta sujeta a confirmación del comprador   </t>
  </si>
  <si>
    <t>Traslado de bienes para transformación</t>
  </si>
  <si>
    <t>Traslado emisor itinerante CP</t>
  </si>
  <si>
    <t>25</t>
  </si>
  <si>
    <t>Código de producto SUNAT</t>
  </si>
  <si>
    <t>Sistema de Codificación Común de las Naciones Unidas - UNSPSC v14_0801 (nivel 3)</t>
  </si>
  <si>
    <t>https://www.unspsc.org/codeset-downloads/productid/28/createdbyuser/3?txtsearch=</t>
  </si>
  <si>
    <t>Códigos de leyendas</t>
  </si>
  <si>
    <t>Monto en Letras</t>
  </si>
  <si>
    <t>Leyenda "TRANSFERENCIA GRATUITA DE UN BIEN Y/O SERVICIO PRESTADO GRATUITAMENTE"</t>
  </si>
  <si>
    <t>Leyenda “COMPROBANTE DE PERCEPCIÓN”</t>
  </si>
  <si>
    <t>Leyenda “BIENES TRANSFERIDOS EN LA AMAZONÍA REGIÓN SELVA PARA SER CONSUMIDOS EN LA MISMA"</t>
  </si>
  <si>
    <t>Leyenda “SERVICIOS PRESTADOS EN LA AMAZONÍA  REGIÓN SELVA PARA SER CONSUMIDOS EN LA MISMA”</t>
  </si>
  <si>
    <t>Leyenda “CONTRATOS DE CONSTRUCCIÓN EJECUTADOS  EN LA AMAZONÍA REGIÓN SELVA”</t>
  </si>
  <si>
    <t xml:space="preserve">Leyenda “Agencia de Viaje - Paquete turístico” </t>
  </si>
  <si>
    <t xml:space="preserve">Leyenda “Venta realizada por emisor itinerante” </t>
  </si>
  <si>
    <r>
      <t>Leyenda</t>
    </r>
    <r>
      <rPr>
        <sz val="10"/>
        <color rgb="FF000000"/>
        <rFont val="Calibri"/>
        <family val="2"/>
        <scheme val="minor"/>
      </rPr>
      <t xml:space="preserve"> "Operación sujeta a detracción"</t>
    </r>
  </si>
  <si>
    <t>2007</t>
  </si>
  <si>
    <r>
      <t>Leyenda</t>
    </r>
    <r>
      <rPr>
        <sz val="10"/>
        <color rgb="FF000000"/>
        <rFont val="Calibri"/>
        <family val="2"/>
        <scheme val="minor"/>
      </rPr>
      <t xml:space="preserve"> "Operación sujeta al IVAP"</t>
    </r>
  </si>
  <si>
    <t>Leyenda: “VENTA EXONERADA DEL IGV-ISC-IPM. PROHIBIDA LA VENTA FUERA DE LA ZONA COMERCIAL DE TACNA”</t>
  </si>
  <si>
    <t>Leyenda: “PRIMERA VENTA DE MERCANCÍA IDENTIFICABLE ENTRE USUARIOS DE LA ZONA COMERCIAL”</t>
  </si>
  <si>
    <t>Restitucion Simplificado de Derechos Arancelarios</t>
  </si>
  <si>
    <t>Leyenda “EXPORTACION DE SERVICIOS - DECRETO LEGISLATIVO Nº 919”</t>
  </si>
  <si>
    <t>2012</t>
  </si>
  <si>
    <t>Observaciones relacionadas con el traslado de mercaderías</t>
  </si>
  <si>
    <t>Código de identificación del concepto tributario</t>
  </si>
  <si>
    <t>3001</t>
  </si>
  <si>
    <r>
      <t xml:space="preserve">Detracciones: </t>
    </r>
    <r>
      <rPr>
        <sz val="10"/>
        <color rgb="FF000000"/>
        <rFont val="Calibri"/>
        <family val="2"/>
        <scheme val="minor"/>
      </rPr>
      <t>Recursos Hidrobiológicos-Matrícula de la embarcación</t>
    </r>
  </si>
  <si>
    <r>
      <t xml:space="preserve">Detracciones: </t>
    </r>
    <r>
      <rPr>
        <sz val="10"/>
        <color rgb="FF000000"/>
        <rFont val="Calibri"/>
        <family val="2"/>
        <scheme val="minor"/>
      </rPr>
      <t>Recursos Hidrobiológicos-Nombre de la embarcación</t>
    </r>
  </si>
  <si>
    <t>3003</t>
  </si>
  <si>
    <r>
      <t xml:space="preserve">Detracciones: </t>
    </r>
    <r>
      <rPr>
        <sz val="10"/>
        <color rgb="FF000000"/>
        <rFont val="Calibri"/>
        <family val="2"/>
        <scheme val="minor"/>
      </rPr>
      <t>Recursos Hidrobiológicos-Tipo de especie vendida</t>
    </r>
  </si>
  <si>
    <t>3004</t>
  </si>
  <si>
    <r>
      <t xml:space="preserve">Detracciones: </t>
    </r>
    <r>
      <rPr>
        <sz val="10"/>
        <color rgb="FF000000"/>
        <rFont val="Calibri"/>
        <family val="2"/>
        <scheme val="minor"/>
      </rPr>
      <t>Recursos Hidrobiológicos-Lugar de descarga</t>
    </r>
  </si>
  <si>
    <t>3005</t>
  </si>
  <si>
    <r>
      <t xml:space="preserve">Detracciones: </t>
    </r>
    <r>
      <rPr>
        <sz val="10"/>
        <color rgb="FF000000"/>
        <rFont val="Calibri"/>
        <family val="2"/>
        <scheme val="minor"/>
      </rPr>
      <t>Recursos Hidrobiológicos-Fecha de descarga</t>
    </r>
  </si>
  <si>
    <t>3006</t>
  </si>
  <si>
    <r>
      <t xml:space="preserve">Detracciones: </t>
    </r>
    <r>
      <rPr>
        <sz val="10"/>
        <color rgb="FF000000"/>
        <rFont val="Calibri"/>
        <family val="2"/>
        <scheme val="minor"/>
      </rPr>
      <t>Recursos Hidrobiológicos-Cantidad de especie vendida</t>
    </r>
  </si>
  <si>
    <t>3050</t>
  </si>
  <si>
    <t>Transportre Terreste - Número de asiento</t>
  </si>
  <si>
    <t>3051</t>
  </si>
  <si>
    <t>Transporte Terrestre - Información de manifiesto de pasajeros</t>
  </si>
  <si>
    <t>3052</t>
  </si>
  <si>
    <t>Transporte Terrestre - Número de documento de identidad del pasajero</t>
  </si>
  <si>
    <t>3053</t>
  </si>
  <si>
    <t>Transporte Terrestre - Tipo de documento de identidad del pasajero</t>
  </si>
  <si>
    <t>3054</t>
  </si>
  <si>
    <t>Transporte Terrestre - Nombres y apellidos del pasajero</t>
  </si>
  <si>
    <t>3055</t>
  </si>
  <si>
    <t>Transporte Terrestre - Ciudad o lugar de destino - Ubigeo</t>
  </si>
  <si>
    <t>3056</t>
  </si>
  <si>
    <t>Transporte Terrestre - Ciudad o lugar de destino - Dirección detallada</t>
  </si>
  <si>
    <t>3057</t>
  </si>
  <si>
    <t>Transporte Terrestre - Ciudad o lugar de origen - Ubigeo</t>
  </si>
  <si>
    <t>3058</t>
  </si>
  <si>
    <t>Transporte Terrestre - Ciudad o lugar de origen - Dirección detallada</t>
  </si>
  <si>
    <t>3059</t>
  </si>
  <si>
    <t>Transporte Terrestre - Fecha de inicio programado</t>
  </si>
  <si>
    <t>3060</t>
  </si>
  <si>
    <t>Transporte Terrestre - Hora de inicio programado</t>
  </si>
  <si>
    <t>4000</t>
  </si>
  <si>
    <t>Beneficio Hospedajes-Paquete turístico: Código de país de emisión del pasaporte</t>
  </si>
  <si>
    <t>4001</t>
  </si>
  <si>
    <t>Beneficio Hospedajes: Código de país de residencia del sujeto no domiciliado</t>
  </si>
  <si>
    <t>Beneficio Hospedajes: Fecha de ingreso al país</t>
  </si>
  <si>
    <t>Beneficio Hospedajes: Fecha de Ingreso al Establecimiento</t>
  </si>
  <si>
    <t>Beneficio Hospedajes: Fecha de Salida del Establecimiento</t>
  </si>
  <si>
    <t>Beneficio Hospedajes: Número de Días de Permanencia</t>
  </si>
  <si>
    <t xml:space="preserve">Beneficio Hospedajes: Fecha de Consumo </t>
  </si>
  <si>
    <t xml:space="preserve">Beneficio Hospedajes-Paquete turístico: Nombres y apellidos del huesped </t>
  </si>
  <si>
    <t xml:space="preserve">Beneficio Hospedajes-Paquete turístico: Tipo de documento de identidad del huesped </t>
  </si>
  <si>
    <t xml:space="preserve">Beneficio Hospedajes-Paquete turístico: Número de documento de identidad del huesped </t>
  </si>
  <si>
    <t>4030</t>
  </si>
  <si>
    <t>Carta Porte Aéreo:  Lugar de origen - Código de ubigeo</t>
  </si>
  <si>
    <t>4031</t>
  </si>
  <si>
    <t>Carta Porte Aéreo:  Lugar de origen - Dirección detallada</t>
  </si>
  <si>
    <t>4032</t>
  </si>
  <si>
    <t>Carta Porte Aéreo:  Lugar de destino - Código de ubigeo</t>
  </si>
  <si>
    <t>4033</t>
  </si>
  <si>
    <t>Carta Porte Aéreo:  Lugar de destino - Dirección detallada</t>
  </si>
  <si>
    <t>4040</t>
  </si>
  <si>
    <t>BVME transporte ferroviario: Pasajero - Apellidos y Nombres</t>
  </si>
  <si>
    <t>4041</t>
  </si>
  <si>
    <t>BVME transporte ferroviario: Pasajero - Tipo de documento de identidad</t>
  </si>
  <si>
    <t>4042</t>
  </si>
  <si>
    <t>BVME transporte ferroviario: Servicio transporte: Ciudad o lugar de origen - Código de ubigeo</t>
  </si>
  <si>
    <t>4043</t>
  </si>
  <si>
    <t>BVME transporte ferroviario: Servicio transporte: Ciudad o lugar de origen - Dirección detallada</t>
  </si>
  <si>
    <t>4044</t>
  </si>
  <si>
    <t>BVME transporte ferroviario: Servicio transporte: Ciudad o lugar de destino - Código de ubigeo</t>
  </si>
  <si>
    <t>4045</t>
  </si>
  <si>
    <t>BVME transporte ferroviario: Servicio transporte: Ciudad o lugar de destino - Dirección detallada</t>
  </si>
  <si>
    <t>4046</t>
  </si>
  <si>
    <t>BVME transporte ferroviario: Servicio transporte:Número de asiento</t>
  </si>
  <si>
    <t>4047</t>
  </si>
  <si>
    <t>BVME transporte ferroviario: Servicio transporte: Hora programada de inicio de viaje</t>
  </si>
  <si>
    <t>4048</t>
  </si>
  <si>
    <t>BVME transporte ferroviario: Servicio transporte: Fecha programada de inicio de viaje</t>
  </si>
  <si>
    <t>4049</t>
  </si>
  <si>
    <t>BVME transporte ferroviario: Pasajero - Número de documento de identidad</t>
  </si>
  <si>
    <t>4060</t>
  </si>
  <si>
    <t>Regalía Petrolera: Decreto Supremo de aprobación del contrato</t>
  </si>
  <si>
    <t>4061</t>
  </si>
  <si>
    <t>Regalía Petrolera: Area de contrato (Lote)</t>
  </si>
  <si>
    <t>4062</t>
  </si>
  <si>
    <t>Regalía Petrolera: Periodo de pago - Fecha de inicio</t>
  </si>
  <si>
    <t>4063</t>
  </si>
  <si>
    <t>Regalía Petrolera: Periodo de pago - Fecha de fin</t>
  </si>
  <si>
    <t>4064</t>
  </si>
  <si>
    <t>Regalía Petrolera: Fecha de Pago</t>
  </si>
  <si>
    <t>Proveedores Estado: Número de Expediente</t>
  </si>
  <si>
    <t>Proveedores Estado: Código de Unidad Ejecutora</t>
  </si>
  <si>
    <t>Proveedores Estado: N° de Proceso de Selección</t>
  </si>
  <si>
    <t>Proveedores Estado: N° de Contrato</t>
  </si>
  <si>
    <t>5010</t>
  </si>
  <si>
    <t>Numero de Placa</t>
  </si>
  <si>
    <t>5011</t>
  </si>
  <si>
    <t>Categoria</t>
  </si>
  <si>
    <t>5012</t>
  </si>
  <si>
    <t>Marca</t>
  </si>
  <si>
    <t>5013</t>
  </si>
  <si>
    <t>Modelo</t>
  </si>
  <si>
    <t>5014</t>
  </si>
  <si>
    <t>Color</t>
  </si>
  <si>
    <t>5015</t>
  </si>
  <si>
    <t>Motor</t>
  </si>
  <si>
    <t>5016</t>
  </si>
  <si>
    <t>Combustible</t>
  </si>
  <si>
    <t>5017</t>
  </si>
  <si>
    <t>Form. Rodante</t>
  </si>
  <si>
    <t>5018</t>
  </si>
  <si>
    <t>VIN</t>
  </si>
  <si>
    <t>5019</t>
  </si>
  <si>
    <t>Serie/Chasis</t>
  </si>
  <si>
    <t>5020</t>
  </si>
  <si>
    <t>Año fabricacion</t>
  </si>
  <si>
    <t>5021</t>
  </si>
  <si>
    <t>Año modelo</t>
  </si>
  <si>
    <t>5022</t>
  </si>
  <si>
    <t>Version</t>
  </si>
  <si>
    <t>5023</t>
  </si>
  <si>
    <t>Ejes</t>
  </si>
  <si>
    <t>5024</t>
  </si>
  <si>
    <t>Asientos</t>
  </si>
  <si>
    <t>5025</t>
  </si>
  <si>
    <t>Pasajeros</t>
  </si>
  <si>
    <t>5026</t>
  </si>
  <si>
    <t>Ruedas</t>
  </si>
  <si>
    <t>5027</t>
  </si>
  <si>
    <t>Carroceria</t>
  </si>
  <si>
    <t>5028</t>
  </si>
  <si>
    <t>Potencia</t>
  </si>
  <si>
    <t>5029</t>
  </si>
  <si>
    <t>Cilindros</t>
  </si>
  <si>
    <t>5030</t>
  </si>
  <si>
    <t>Ciliindrada</t>
  </si>
  <si>
    <t>5031</t>
  </si>
  <si>
    <t>Peso Bruto</t>
  </si>
  <si>
    <t>5032</t>
  </si>
  <si>
    <t>Peso Neto</t>
  </si>
  <si>
    <t>5033</t>
  </si>
  <si>
    <t>Carga Util</t>
  </si>
  <si>
    <t>5034</t>
  </si>
  <si>
    <t>Longitud</t>
  </si>
  <si>
    <t>5035</t>
  </si>
  <si>
    <t>Altura</t>
  </si>
  <si>
    <t>5036</t>
  </si>
  <si>
    <t>Ancho</t>
  </si>
  <si>
    <t>5060</t>
  </si>
  <si>
    <t>Gas Natural - Lectura Anterior</t>
  </si>
  <si>
    <t>5061</t>
  </si>
  <si>
    <t>Gas Natural - Lectura Actual</t>
  </si>
  <si>
    <t>5062</t>
  </si>
  <si>
    <t>Gas Natural - Volumen consumido a Condiciones de lectura</t>
  </si>
  <si>
    <t>5063</t>
  </si>
  <si>
    <t>Gas Natural - Factor de correccion del volumen</t>
  </si>
  <si>
    <t>5064</t>
  </si>
  <si>
    <t>Gas Natural - Volumen a condiciones Estandares</t>
  </si>
  <si>
    <t>5065</t>
  </si>
  <si>
    <t>Gas Natural - Volumen facturado</t>
  </si>
  <si>
    <t>5066</t>
  </si>
  <si>
    <t>Gas Natural - Poder Calorifico Superior Promedio del Gas</t>
  </si>
  <si>
    <t>Comercialización de Oro:  Código Unico Concesión Minera</t>
  </si>
  <si>
    <t>Comercialización de Oro:  N° declaración compromiso</t>
  </si>
  <si>
    <t>Comercialización de Oro:  N° Reg. Especial .Comerci. Oro</t>
  </si>
  <si>
    <t>Comercialización de Oro:  N° Resolución que autoriza Planta de Beneficio</t>
  </si>
  <si>
    <t>Comercialización de Oro: Ley Mineral (% concent. oro)</t>
  </si>
  <si>
    <t>Comercialización de Oro : Naturaleza del mineral</t>
  </si>
  <si>
    <t>Comercialización de Oro : Nombre del derecho minero</t>
  </si>
  <si>
    <t>7000</t>
  </si>
  <si>
    <t>Gastos Art. 37 Renta:  Número de Placa</t>
  </si>
  <si>
    <t>Empresas del sistema financiero y cooperativas de ahorro y crédito no autorizadas a captar recursos del público: Tipo de préstamo</t>
  </si>
  <si>
    <t>Empresas del sistema financiero y cooperativas de ahorro y crédito no autorizadas a captar recursos del público: Indicador de Primera Vivienda</t>
  </si>
  <si>
    <t>Empresas del sistema financiero y cooperativas de ahorro y crédito no autorizadas a captar recursos del público: Partida Registral</t>
  </si>
  <si>
    <t>7004</t>
  </si>
  <si>
    <t>Empresas del sistema financiero y cooperativas de ahorro y crédito no autorizadas a captar recursos del público: Número de contrato</t>
  </si>
  <si>
    <t>7005</t>
  </si>
  <si>
    <t>Empresas del sistema financiero y cooperativas de ahorro y crédito no autorizadas a captar recursos del público: Fecha de otorgamiento del crédito</t>
  </si>
  <si>
    <t>7006</t>
  </si>
  <si>
    <t>Empresas del sistema financiero y cooperativas de ahorro y crédito no autorizadas a captar recursos del público: Dirección del predio - Código de ubigeo</t>
  </si>
  <si>
    <t>7007</t>
  </si>
  <si>
    <t>Empresas del sistema financiero y cooperativas de ahorro y crédito no autorizadas a captar recursos del público: Dirección del predio - Dirección completa</t>
  </si>
  <si>
    <t>7008</t>
  </si>
  <si>
    <t>Empresas del sistema financiero y cooperativas de ahorro y crédito no autorizadas a captar recursos del público: Dirección del predio - Urbanización</t>
  </si>
  <si>
    <t>7009</t>
  </si>
  <si>
    <t>Empresas del sistema financiero y cooperativas de ahorro y crédito no autorizadas a captar recursos del público: Dirección del predio - Provincia</t>
  </si>
  <si>
    <t>7010</t>
  </si>
  <si>
    <t>Empresas del sistema financiero y cooperativas de ahorro y crédito no autorizadas a captar recursos del público: Dirección del predio - Distrito</t>
  </si>
  <si>
    <t>7011</t>
  </si>
  <si>
    <t>Empresas del sistema financiero y cooperativas de ahorro y crédito no autorizadas a captar recursos del público: Dirección del predio - Departamento</t>
  </si>
  <si>
    <t>7012</t>
  </si>
  <si>
    <t>Empresas del sistema financiero y cooperativas de ahorro y crédito no autorizadas a captar recursos del público: Monto del crédito otorgado (capital)</t>
  </si>
  <si>
    <t>7013</t>
  </si>
  <si>
    <t>Empresas del sistema de seguro: Número de póliza</t>
  </si>
  <si>
    <t>7014</t>
  </si>
  <si>
    <t>Empresas del sistema de seguro: Fecha de inicio/término de vigencia de cobertura</t>
  </si>
  <si>
    <t>7015</t>
  </si>
  <si>
    <t>Empresas del sistema de seguro: Tipo de seguro</t>
  </si>
  <si>
    <t>7016</t>
  </si>
  <si>
    <t>Empresas del sistema de seguro: Suma asegurada / alcance de cobertura o monto</t>
  </si>
  <si>
    <t>7017</t>
  </si>
  <si>
    <t>AFP: CUSPP</t>
  </si>
  <si>
    <t>7018</t>
  </si>
  <si>
    <t>AFP: Periodo</t>
  </si>
  <si>
    <t>7019</t>
  </si>
  <si>
    <t>AFP: Monto del interes moratorio</t>
  </si>
  <si>
    <t>7020</t>
  </si>
  <si>
    <t>7021</t>
  </si>
  <si>
    <t>Numero de declaracion aduanera (DAM)</t>
  </si>
  <si>
    <t>7022</t>
  </si>
  <si>
    <t>Indicador de bien normalizado</t>
  </si>
  <si>
    <t>7023</t>
  </si>
  <si>
    <t>Numero de serie en la DAM o DS</t>
  </si>
  <si>
    <t>Documentos relacionados al transporte de mercancías</t>
  </si>
  <si>
    <t>Nombre</t>
  </si>
  <si>
    <t>GRE Aplicable</t>
  </si>
  <si>
    <t>remitente, transportista</t>
  </si>
  <si>
    <t>Boleta de Venta</t>
  </si>
  <si>
    <t>Liquidación de Compra</t>
  </si>
  <si>
    <t>Guía de Remisión Remitente</t>
  </si>
  <si>
    <t>Ticket o cinta emitido por máquina registradora</t>
  </si>
  <si>
    <t>Guía de Remisión Transportista</t>
  </si>
  <si>
    <t>solo transportista</t>
  </si>
  <si>
    <t>Comprobante de Operaciones – Ley N° 29972</t>
  </si>
  <si>
    <t>Constancia de Depósito - IVAP (Ley 28211)</t>
  </si>
  <si>
    <t>solo remitente</t>
  </si>
  <si>
    <t>Declaración Aduanera de Mercancías</t>
  </si>
  <si>
    <t>Declaración Simplificada (DS)</t>
  </si>
  <si>
    <t>Autorización de Circulación para transportar MATPEL – Callao</t>
  </si>
  <si>
    <t>Autorización de Circulación para transporte de carga y mercancías en Lima Metropolitana</t>
  </si>
  <si>
    <t>Permiso de Operación Especial para el servicio de transporte de MATPEL - MTC</t>
  </si>
  <si>
    <t>Habilitación Sanitaria de Transporte Terrestre de Productos Pesqueros y Acuícolas</t>
  </si>
  <si>
    <t>Permiso / Autorización de operación de transporte de mercancías</t>
  </si>
  <si>
    <t>Resolución de Adjudicación de bienes – SUNAT</t>
  </si>
  <si>
    <t>Resolución de Comiso de bienes – SUNAT</t>
  </si>
  <si>
    <t>Guía de Transporte Forestal o de Fauna - SERFOR</t>
  </si>
  <si>
    <t>Guía de Tránsito – SUCAMEC</t>
  </si>
  <si>
    <t xml:space="preserve">Autorización para operar como empresa de Saneamiento Ambiental – MINSA - </t>
  </si>
  <si>
    <t>Autorización para manejo y recojo de residuos sólidos peligrosos y no peligrosos</t>
  </si>
  <si>
    <t xml:space="preserve">Certificado fitosanitario la movilización de plantas, productos vegetales, y otros artículos reglamentados </t>
  </si>
  <si>
    <t>Registro Único de Usuarios y Transportistas de Alcohol Etílico</t>
  </si>
  <si>
    <t>Constancia de Depósito – Detracción</t>
  </si>
  <si>
    <t>Código de autorización emitida por el SCOP</t>
  </si>
  <si>
    <t>Declaración jurada de mudanza</t>
  </si>
  <si>
    <t>Bienes normalizados</t>
  </si>
  <si>
    <t>Azúcar de caña</t>
  </si>
  <si>
    <t>Los demás azúcares de caña</t>
  </si>
  <si>
    <t>Con adición de aromatizante o colorante</t>
  </si>
  <si>
    <t>1701999000</t>
  </si>
  <si>
    <t>Los demás</t>
  </si>
  <si>
    <t>Melaza de caña</t>
  </si>
  <si>
    <t>Alcohol etílico sin desnaturalizar con grado alcohólico volumétrico superior o igual al 80 % vol</t>
  </si>
  <si>
    <t>Alcohol carburante</t>
  </si>
  <si>
    <t>Alcohol etílico sin desnaturalizar con grado alcohólico volumétrico inferior al 80% vol</t>
  </si>
  <si>
    <t>Arroz descascarillado (arroz cargo o arroz pardo)</t>
  </si>
  <si>
    <t>Arroz semiblanqueado o blanqueado, incluso pulido o glaseado</t>
  </si>
  <si>
    <t>Arroz partido</t>
  </si>
  <si>
    <t>No vigente</t>
  </si>
  <si>
    <t>Puertos del Perú</t>
  </si>
  <si>
    <t>Ubigeo</t>
  </si>
  <si>
    <t>PUB</t>
  </si>
  <si>
    <t>Bayóvar</t>
  </si>
  <si>
    <t>CLL</t>
  </si>
  <si>
    <t>Callao</t>
  </si>
  <si>
    <t>070101</t>
  </si>
  <si>
    <t>CON</t>
  </si>
  <si>
    <t>Conchán</t>
  </si>
  <si>
    <t>CHY</t>
  </si>
  <si>
    <t>Chancay</t>
  </si>
  <si>
    <t>CHM</t>
  </si>
  <si>
    <t>Chimbote</t>
  </si>
  <si>
    <t>021801</t>
  </si>
  <si>
    <t>EEN</t>
  </si>
  <si>
    <t>Eten</t>
  </si>
  <si>
    <t>HCO</t>
  </si>
  <si>
    <t>Huacho</t>
  </si>
  <si>
    <t>HUY</t>
  </si>
  <si>
    <t>Huarmey</t>
  </si>
  <si>
    <t>021101</t>
  </si>
  <si>
    <t>ILQ</t>
  </si>
  <si>
    <t>Ilo</t>
  </si>
  <si>
    <t>IQT</t>
  </si>
  <si>
    <t>Iquitos</t>
  </si>
  <si>
    <t>MRI</t>
  </si>
  <si>
    <t>Matarani</t>
  </si>
  <si>
    <t>040701</t>
  </si>
  <si>
    <t>PAI</t>
  </si>
  <si>
    <t>Paita</t>
  </si>
  <si>
    <t>PIO</t>
  </si>
  <si>
    <t>Pisco</t>
  </si>
  <si>
    <t>PCL</t>
  </si>
  <si>
    <t>Pucallpa</t>
  </si>
  <si>
    <t>PUN</t>
  </si>
  <si>
    <t>Puno</t>
  </si>
  <si>
    <t>SVY</t>
  </si>
  <si>
    <t>Salaverry</t>
  </si>
  <si>
    <t>SNX</t>
  </si>
  <si>
    <t>San Nicolas</t>
  </si>
  <si>
    <t>SUP</t>
  </si>
  <si>
    <t>Supe</t>
  </si>
  <si>
    <t>TYL</t>
  </si>
  <si>
    <t>Talara</t>
  </si>
  <si>
    <t>YMS</t>
  </si>
  <si>
    <t>Yurimaguas</t>
  </si>
  <si>
    <t>ZOR</t>
  </si>
  <si>
    <t>Zorritos</t>
  </si>
  <si>
    <t>Aeropuertos del Perú</t>
  </si>
  <si>
    <t>AQP</t>
  </si>
  <si>
    <t>Rodríguez Ballón</t>
  </si>
  <si>
    <t>040104</t>
  </si>
  <si>
    <t>ANS</t>
  </si>
  <si>
    <t>Andahuaylas</t>
  </si>
  <si>
    <t>030201</t>
  </si>
  <si>
    <t>ATA</t>
  </si>
  <si>
    <t>Comandante FAP Germán Arias Graciani</t>
  </si>
  <si>
    <t>020604</t>
  </si>
  <si>
    <t>AYP</t>
  </si>
  <si>
    <t>Coronel FAP Alfredo Mendívil Duarte</t>
  </si>
  <si>
    <t>050113</t>
  </si>
  <si>
    <t>CJA</t>
  </si>
  <si>
    <t>Mayor Gral. FAP Armando Revoredo Iglesias</t>
  </si>
  <si>
    <t>060108</t>
  </si>
  <si>
    <t>Tnte. FAP Jaime De Montruil M.</t>
  </si>
  <si>
    <t>021809</t>
  </si>
  <si>
    <t>CUZ</t>
  </si>
  <si>
    <t>Alejandro Velazco Astete</t>
  </si>
  <si>
    <t>080108</t>
  </si>
  <si>
    <t>CHH</t>
  </si>
  <si>
    <t>Chachapoyas</t>
  </si>
  <si>
    <t>010101</t>
  </si>
  <si>
    <t>CIX</t>
  </si>
  <si>
    <t>Capitán FAP José Quiñones G.</t>
  </si>
  <si>
    <t>HUU</t>
  </si>
  <si>
    <t>Alférez FAP David Figueroa Fernandini</t>
  </si>
  <si>
    <t>ILO</t>
  </si>
  <si>
    <t>Coronel FAP Francisco Secada Vignetta</t>
  </si>
  <si>
    <t>JAE</t>
  </si>
  <si>
    <t>Jaén - Shumba</t>
  </si>
  <si>
    <t>060802</t>
  </si>
  <si>
    <t>JJI</t>
  </si>
  <si>
    <t>Juanjuí</t>
  </si>
  <si>
    <t>JUL</t>
  </si>
  <si>
    <t>Manco Cápac</t>
  </si>
  <si>
    <t>JAU</t>
  </si>
  <si>
    <t>Francisco Carlé</t>
  </si>
  <si>
    <t>LIM</t>
  </si>
  <si>
    <t>Internacional Jorge Chávez</t>
  </si>
  <si>
    <t>MBP</t>
  </si>
  <si>
    <t>Moyobamba</t>
  </si>
  <si>
    <t>Capitán FAP Renán Elías Olivera</t>
  </si>
  <si>
    <t>PIU</t>
  </si>
  <si>
    <t>Capitán FAP Carlos Concha Iberico</t>
  </si>
  <si>
    <t>Capitán FAP David Abensur Rengifo</t>
  </si>
  <si>
    <t>PEM</t>
  </si>
  <si>
    <t>Padre Aldamiz</t>
  </si>
  <si>
    <t>RIJ</t>
  </si>
  <si>
    <t>Juan Simons Vela - Rioja</t>
  </si>
  <si>
    <t>TCQ</t>
  </si>
  <si>
    <t>Coronel FAP Carlos Ciriani Santa Rosa</t>
  </si>
  <si>
    <t>Capitán FAP Montes Arias</t>
  </si>
  <si>
    <t>TPP</t>
  </si>
  <si>
    <t>Cadete FAP Guillermo del Castillo Paredes</t>
  </si>
  <si>
    <t>TIG</t>
  </si>
  <si>
    <t>Tingo María</t>
  </si>
  <si>
    <t>TRU</t>
  </si>
  <si>
    <t>Capitán FAP Carlos Martínez Pinillos</t>
  </si>
  <si>
    <t>TBP</t>
  </si>
  <si>
    <t>Capitán FAP Pedro Canga Rodríguez</t>
  </si>
  <si>
    <t>ATG</t>
  </si>
  <si>
    <t>Atalaya - Tnte. Gral. Gerardo Pérez Pinedo</t>
  </si>
  <si>
    <t>Moisés Benzaquen Rengifo</t>
  </si>
  <si>
    <t xml:space="preserve"> Código de unidades de medida (para uso solo para la GRE en DAM o DS)</t>
  </si>
  <si>
    <t>DOCENA POR 10**6</t>
  </si>
  <si>
    <t>12U</t>
  </si>
  <si>
    <t>DOCENA</t>
  </si>
  <si>
    <t>2U</t>
  </si>
  <si>
    <t>PAR</t>
  </si>
  <si>
    <t>2U6</t>
  </si>
  <si>
    <t>PAR POR 10**6</t>
  </si>
  <si>
    <t>AM</t>
  </si>
  <si>
    <t>AMPOLLA</t>
  </si>
  <si>
    <t>BAL</t>
  </si>
  <si>
    <t>BALDE</t>
  </si>
  <si>
    <t>BID</t>
  </si>
  <si>
    <t>BIDONES</t>
  </si>
  <si>
    <t>BLS</t>
  </si>
  <si>
    <t>BOLSA</t>
  </si>
  <si>
    <t>BOB</t>
  </si>
  <si>
    <t>BOBINAS</t>
  </si>
  <si>
    <t>BOT</t>
  </si>
  <si>
    <t>BOTELLAS</t>
  </si>
  <si>
    <t>BRR</t>
  </si>
  <si>
    <t>BARRILES</t>
  </si>
  <si>
    <t>CAJ</t>
  </si>
  <si>
    <t>CAJA</t>
  </si>
  <si>
    <t>CIL</t>
  </si>
  <si>
    <t>CILINDRO</t>
  </si>
  <si>
    <t>CM</t>
  </si>
  <si>
    <t>CENTIMETRO LINEAL</t>
  </si>
  <si>
    <t>CM2</t>
  </si>
  <si>
    <t>CENTIMETRO CUADRADO</t>
  </si>
  <si>
    <t>CM3</t>
  </si>
  <si>
    <t>CENTIMETRO CUBICO</t>
  </si>
  <si>
    <t>CONOS</t>
  </si>
  <si>
    <t>CRT</t>
  </si>
  <si>
    <t>CARTONES</t>
  </si>
  <si>
    <t>FDO</t>
  </si>
  <si>
    <t>FARDO</t>
  </si>
  <si>
    <t>FRC</t>
  </si>
  <si>
    <t>FRASCOS</t>
  </si>
  <si>
    <t>GAL</t>
  </si>
  <si>
    <t>US GALON (3,7843 L)</t>
  </si>
  <si>
    <t>GLE</t>
  </si>
  <si>
    <t>GALON INGLES (4,545956L)</t>
  </si>
  <si>
    <t>GR</t>
  </si>
  <si>
    <t>GRAMO</t>
  </si>
  <si>
    <t>GRU</t>
  </si>
  <si>
    <t>GRUESA</t>
  </si>
  <si>
    <t>HL</t>
  </si>
  <si>
    <t>HECTOLITRO</t>
  </si>
  <si>
    <t>HOJ</t>
  </si>
  <si>
    <t>HOJA</t>
  </si>
  <si>
    <t>JGS</t>
  </si>
  <si>
    <t>JUEGO</t>
  </si>
  <si>
    <t>KG</t>
  </si>
  <si>
    <t>KILOGRAMO</t>
  </si>
  <si>
    <t>KG3</t>
  </si>
  <si>
    <t>KILOGRAMO POR 10**3 (TM)</t>
  </si>
  <si>
    <t>KG6</t>
  </si>
  <si>
    <t>KILOGRAMO POR 10**6</t>
  </si>
  <si>
    <t>KGA</t>
  </si>
  <si>
    <t>KILOGRAMO INGREDIENTE ACTIVO</t>
  </si>
  <si>
    <t>KI</t>
  </si>
  <si>
    <t>QUILATE</t>
  </si>
  <si>
    <t>KI6</t>
  </si>
  <si>
    <t>QUILATE 10**6</t>
  </si>
  <si>
    <t>KIT</t>
  </si>
  <si>
    <t>KL6</t>
  </si>
  <si>
    <t>KILOS X 10 EXP - 6 (MG)</t>
  </si>
  <si>
    <t>KL9</t>
  </si>
  <si>
    <t>KILOS X 10 EXP -9</t>
  </si>
  <si>
    <t>KM</t>
  </si>
  <si>
    <t>KILOMETRO</t>
  </si>
  <si>
    <t>KW3</t>
  </si>
  <si>
    <t>KILOVATIO HORA POR 10**3 (1000KWH)</t>
  </si>
  <si>
    <t>KW6</t>
  </si>
  <si>
    <t>KILOVATIO HORA POR 10**6</t>
  </si>
  <si>
    <t>KWH</t>
  </si>
  <si>
    <t>KILOVATIO HORA</t>
  </si>
  <si>
    <t>L</t>
  </si>
  <si>
    <t>LITRO</t>
  </si>
  <si>
    <t>L 6</t>
  </si>
  <si>
    <t>LITRO POR 10**6</t>
  </si>
  <si>
    <t>LAT</t>
  </si>
  <si>
    <t>LATAS</t>
  </si>
  <si>
    <t>LB</t>
  </si>
  <si>
    <t>LIBRAS</t>
  </si>
  <si>
    <t>METRO</t>
  </si>
  <si>
    <t>M 6</t>
  </si>
  <si>
    <t>METRO POR 10**6</t>
  </si>
  <si>
    <t>M2</t>
  </si>
  <si>
    <t>METRO CUADRADO</t>
  </si>
  <si>
    <t>M26</t>
  </si>
  <si>
    <t>METRO CUADRADO POR 10**6</t>
  </si>
  <si>
    <t>M3</t>
  </si>
  <si>
    <t>METRO CUBICO</t>
  </si>
  <si>
    <t>M36</t>
  </si>
  <si>
    <t>METRO CUBICO POR 10**6</t>
  </si>
  <si>
    <t>MGA</t>
  </si>
  <si>
    <t>MILIGRAMO ACTIVO</t>
  </si>
  <si>
    <t>MGR</t>
  </si>
  <si>
    <t>MILIGRAMOS</t>
  </si>
  <si>
    <t>ML</t>
  </si>
  <si>
    <t>MILILITRO</t>
  </si>
  <si>
    <t>MLL</t>
  </si>
  <si>
    <t>MILLARES</t>
  </si>
  <si>
    <t>MM</t>
  </si>
  <si>
    <t>MILIMETRO</t>
  </si>
  <si>
    <t>MM2</t>
  </si>
  <si>
    <t>MILIMETRO CUADRADO</t>
  </si>
  <si>
    <t>MM3</t>
  </si>
  <si>
    <t>MILIMETRO CUBICO</t>
  </si>
  <si>
    <t>MU</t>
  </si>
  <si>
    <t>MUESTRAS</t>
  </si>
  <si>
    <t>MWH</t>
  </si>
  <si>
    <t>MEGAWATT HORA</t>
  </si>
  <si>
    <t>OZ</t>
  </si>
  <si>
    <t>ONZAS</t>
  </si>
  <si>
    <t>PAILAS</t>
  </si>
  <si>
    <t>PAL</t>
  </si>
  <si>
    <t>PALETAS</t>
  </si>
  <si>
    <t>PAQ</t>
  </si>
  <si>
    <t>PAQUETE</t>
  </si>
  <si>
    <t>PL</t>
  </si>
  <si>
    <t>PLACAS</t>
  </si>
  <si>
    <t>PLC</t>
  </si>
  <si>
    <t>PLANCHAS</t>
  </si>
  <si>
    <t>PLG</t>
  </si>
  <si>
    <t>PLIEGO</t>
  </si>
  <si>
    <t>PS</t>
  </si>
  <si>
    <t>PIES</t>
  </si>
  <si>
    <t>PS2</t>
  </si>
  <si>
    <t>PIES CUADRADOS</t>
  </si>
  <si>
    <t>PS3</t>
  </si>
  <si>
    <t>PIES CUBICOS</t>
  </si>
  <si>
    <t>PST</t>
  </si>
  <si>
    <t>PIES TABLARES(MADERA)</t>
  </si>
  <si>
    <t>PUL</t>
  </si>
  <si>
    <t>PULGADAS</t>
  </si>
  <si>
    <t>PZA</t>
  </si>
  <si>
    <t>PIEZAS</t>
  </si>
  <si>
    <t>QQ</t>
  </si>
  <si>
    <t>QUINTAL METRICO (100 KG)</t>
  </si>
  <si>
    <t>QUT</t>
  </si>
  <si>
    <t>QUINTAL USA (100 LB)</t>
  </si>
  <si>
    <t>RAM</t>
  </si>
  <si>
    <t>RAMOS</t>
  </si>
  <si>
    <t>RES</t>
  </si>
  <si>
    <t>RESMA</t>
  </si>
  <si>
    <t>ROL</t>
  </si>
  <si>
    <t>ROLLOS</t>
  </si>
  <si>
    <t>SAC</t>
  </si>
  <si>
    <t>SACO</t>
  </si>
  <si>
    <t>SET</t>
  </si>
  <si>
    <t>TAM</t>
  </si>
  <si>
    <t>TAMBOR</t>
  </si>
  <si>
    <t>TC</t>
  </si>
  <si>
    <t>TONELADA CORTA</t>
  </si>
  <si>
    <t>TCS</t>
  </si>
  <si>
    <t>TONELADA CORTA SECA</t>
  </si>
  <si>
    <t>TIR</t>
  </si>
  <si>
    <t>TIRAS</t>
  </si>
  <si>
    <t>TL</t>
  </si>
  <si>
    <t>TONELADA LARGA</t>
  </si>
  <si>
    <t>TLS</t>
  </si>
  <si>
    <t>TONELADA LARGA SECA</t>
  </si>
  <si>
    <t>TM</t>
  </si>
  <si>
    <t>TONELADAS</t>
  </si>
  <si>
    <t>TM3</t>
  </si>
  <si>
    <t>TONELADA CUBICA</t>
  </si>
  <si>
    <t>TMS</t>
  </si>
  <si>
    <t>TONELADA METRICA SECA</t>
  </si>
  <si>
    <t>TUB</t>
  </si>
  <si>
    <t>TUBOS</t>
  </si>
  <si>
    <t>U</t>
  </si>
  <si>
    <t>UNIDAD</t>
  </si>
  <si>
    <t>U 3</t>
  </si>
  <si>
    <t>UNIDAD POR 10**3</t>
  </si>
  <si>
    <t>U 6</t>
  </si>
  <si>
    <t>UNIDAD PO 10**6</t>
  </si>
  <si>
    <t>U2</t>
  </si>
  <si>
    <t>CIENTO DE UNIDADES</t>
  </si>
  <si>
    <t>U3</t>
  </si>
  <si>
    <t>MILES DE UNIDADES</t>
  </si>
  <si>
    <t>U6</t>
  </si>
  <si>
    <t>MILLON DE UNIDADES</t>
  </si>
  <si>
    <t>YD</t>
  </si>
  <si>
    <t>YARDA</t>
  </si>
  <si>
    <t>YD2</t>
  </si>
  <si>
    <t>YARDA CUADRADA</t>
  </si>
  <si>
    <t>Otros Listados</t>
  </si>
  <si>
    <t>D-37</t>
  </si>
  <si>
    <t>Entidades que emiten autorizaciones especiales para el traslado</t>
  </si>
  <si>
    <t>Abreviatura</t>
  </si>
  <si>
    <t>Superintendencia Nacional de Control de Servicios de Seguridad, Armas, Municiones y Explosivos de Uso Civil</t>
  </si>
  <si>
    <t>SUCAMEC</t>
  </si>
  <si>
    <t>Dirección General de Medicamentos Insumos y Drogas</t>
  </si>
  <si>
    <t>DIGEMID</t>
  </si>
  <si>
    <t>Dirección General de Salud Ambiental</t>
  </si>
  <si>
    <t>DIGESA</t>
  </si>
  <si>
    <t>Servicio Nacional de Sanidad Agraria</t>
  </si>
  <si>
    <t>SENASA</t>
  </si>
  <si>
    <t>Servicio Nacional Forestal y de Fauna Silvestre</t>
  </si>
  <si>
    <t>SERFOR</t>
  </si>
  <si>
    <t>Ministerio de Transportes y Comunicaciones</t>
  </si>
  <si>
    <t>MTC</t>
  </si>
  <si>
    <t>Ministerio de la Producción</t>
  </si>
  <si>
    <t>PRODUCE</t>
  </si>
  <si>
    <t>Ministerio del Ambiente</t>
  </si>
  <si>
    <t>MIN. AMBIENTE</t>
  </si>
  <si>
    <t>Organismo Nacional de Sanidad Pesquera</t>
  </si>
  <si>
    <t>SANIPES</t>
  </si>
  <si>
    <t>Municipalidad Metropolitana de Lima</t>
  </si>
  <si>
    <t>MML</t>
  </si>
  <si>
    <t>Ministerio de Salud</t>
  </si>
  <si>
    <t>MINSA</t>
  </si>
  <si>
    <t>Gobierno Regional</t>
  </si>
  <si>
    <t>tipDocRel</t>
  </si>
  <si>
    <t>numDocEmisorDoc</t>
  </si>
  <si>
    <t>tipDocEmisorDocRel</t>
  </si>
  <si>
    <t>GUIA REMISION REMITENTE</t>
  </si>
  <si>
    <t>Nombre del concepto</t>
  </si>
  <si>
    <t>/DespatchAdvice/cac:DespatchLine/cac:Item/cac:AdditionalItemProperty/cbc:Name</t>
  </si>
  <si>
    <t xml:space="preserve">/DespatchAdvice/cac:DespatchLine/cac:Item/cac:StandardItemIdentification/cbc:ID </t>
  </si>
  <si>
    <t>Código de producto GTIN</t>
  </si>
  <si>
    <t>/DespatchAdvice/cac:DespatchLine/cac:Item/cac:StandardItemIdentification/cbc:ID@schemeID</t>
  </si>
  <si>
    <t>Tipo de estructura GTIN</t>
  </si>
  <si>
    <t>/DespatchAdvice/cac:DespatchLine/cac:Item/cac:AdditionalItemProperty/cbc:NameCode</t>
  </si>
  <si>
    <t>Código del concepto</t>
  </si>
  <si>
    <t xml:space="preserve">/DespatchAdvice/cac:DespatchLine/cac:Item/cac:AdditionalItemProperty/cbc:Value </t>
  </si>
  <si>
    <t>GTIN-8
GTIN-12
GTIN-13
GTIN-14</t>
  </si>
  <si>
    <t>Número de serie en la DAM o DS</t>
  </si>
  <si>
    <t>Numeración de la DAM o DS</t>
  </si>
  <si>
    <t>n..10</t>
  </si>
  <si>
    <t>lineaBien</t>
  </si>
  <si>
    <t>canBien</t>
  </si>
  <si>
    <t>uniMedidaBien</t>
  </si>
  <si>
    <t>codProductoSunatItem</t>
  </si>
  <si>
    <t>codProductoGTINItem</t>
  </si>
  <si>
    <t>tipEstructuraGTINItem</t>
  </si>
  <si>
    <t>nomConceptoItem</t>
  </si>
  <si>
    <t>codConceptoItem</t>
  </si>
  <si>
    <t>valueItem</t>
  </si>
  <si>
    <t>/DespatchAdvice/cac:DespatchLine/cac:Item/cac:CommodityClassification/cbc:ItemClassificationCode</t>
  </si>
  <si>
    <t>Tipo de documento de identidad del destinatario</t>
  </si>
  <si>
    <t>Número de documento de identidad del destinatario</t>
  </si>
  <si>
    <t>Tipo de documento de identidad del proveedor</t>
  </si>
  <si>
    <t>Número de documento de identidad del proveedor</t>
  </si>
  <si>
    <t>Tipo de documento de identidad del comprador</t>
  </si>
  <si>
    <t>Número de documento de identidad del comprador</t>
  </si>
  <si>
    <t>Peso bruto total de los ítems seleccionados (en KGM)</t>
  </si>
  <si>
    <t>Unidad de medida del peso bruto total de los items seleccionados</t>
  </si>
  <si>
    <t>Peso bruto total de la carga</t>
  </si>
  <si>
    <t>Unidad de medida del peso bruto</t>
  </si>
  <si>
    <t>(Catálogo N.° 03)
"KGM" Kilogramos</t>
  </si>
  <si>
    <t>sustentoDifPesoDatosEnvio</t>
  </si>
  <si>
    <t>psoBrutoTotalCargaDatosEnvio</t>
  </si>
  <si>
    <t>numContenedor1</t>
  </si>
  <si>
    <t>numContenedor2</t>
  </si>
  <si>
    <t>numPrecinto1</t>
  </si>
  <si>
    <t>numPrecinto2</t>
  </si>
  <si>
    <t>Indicador de registro de vehículos y conductores del transportista (de acuerdo con el último párrafo del numeral 3.1. del artículo 3) de la RS N° 255-2015-SUNAT)</t>
  </si>
  <si>
    <t>fecInicioTraslado</t>
  </si>
  <si>
    <t>indTransbordoProgramado</t>
  </si>
  <si>
    <t>indTrasladoVehCatM1oL</t>
  </si>
  <si>
    <t>indRetornoVehiculoVacio</t>
  </si>
  <si>
    <t>indRegistroVehiculoConductor</t>
  </si>
  <si>
    <t>fecEntregaTransportistaDatosEnvio</t>
  </si>
  <si>
    <t>indTrasladoTotalDAMoDS</t>
  </si>
  <si>
    <t>/DespatchAdvice/cac:Shipment/cac:ShipmentStage/cac:CarrierParty/cac:PartyIdentification/cbc:ID@schemeID</t>
  </si>
  <si>
    <t>Tipo de documento de identidad</t>
  </si>
  <si>
    <t>/DespatchAdvice/cac:Shipment/cac:ShipmentStage/cac:CarrierParty/cac:PartyIdentification/cbc:ID</t>
  </si>
  <si>
    <t>Número de RUC</t>
  </si>
  <si>
    <t>/DespatchAdvice/cac:Shipment/cac:ShipmentStage/cac:CarrierParty/cac:AgentParty/cac:PartyLegalEntity/cbc:CompanyID</t>
  </si>
  <si>
    <t>/DespatchAdvice/cac:Shipment/cac:ShipmentStage/cac:CarrierParty/cac:AgentParty/cac:PartyLegalEntity/cbc:CompanyID@schemeID</t>
  </si>
  <si>
    <t>Entidad emisora de la autorización especial - transportista
Número de autorización especial emitido por la entidad - transportista
 (Número de autorización)</t>
  </si>
  <si>
    <t>Entidad emisora de la autorización especial - transportista
Número de autorización especial emitido por la entidad - transportista
 (Código de entidad autorizadora)</t>
  </si>
  <si>
    <t>Entidad emisora de la autorización especial - remitente
Número de autorización especial emitido por la entidad - remitente
 (Número de autorización)</t>
  </si>
  <si>
    <t>Entidad emisora de la autorización especial - remitente
Número de autorización especial emitido por la entidad - remitente
(Código de entidad autorizadora)</t>
  </si>
  <si>
    <t>Vehiculos Secundarios Incremental hasta 2</t>
  </si>
  <si>
    <t>Conductores secundarios - Incremental hasta 2</t>
  </si>
  <si>
    <t xml:space="preserve">/DespatchAdvice/cac:Shipment/cac:TransportHandlingUnit/cac:TransportEquipment/cac:ShipmentDocumentReference/cbc:ID </t>
  </si>
  <si>
    <t>Entidad emisora de la autorización especial - vehículo principal
Número de autorización especial del vehículo emitido por la entidad - vehículo principal
(Número de autorización)</t>
  </si>
  <si>
    <t>/DespatchAdvice/cac:Shipment/cac:TransportHandlingUnit/cac:TransportEquipment/cac:ShipmentDocumentReference/cbc:ID@schemeID</t>
  </si>
  <si>
    <t>Entidad emisora de la autorización especial - vehículo principal
Número de autorización especial del vehículo emitido por la entidad - vehículo principal
 (Código de entidad emisora)</t>
  </si>
  <si>
    <t>/DespatchAdvice/cac:Shipment/cac:TransportHandlingUnit/cac:TransportEquipment/cac:AttachedTransportEquipment/cac:ApplicableTransportMeans/cbc:RegistrationNationalityID</t>
  </si>
  <si>
    <t xml:space="preserve">/DespatchAdvice/cac:Shipment/cac:TransportHandlingUnit/cac:TransportEquipment/cac:AttachedTransportEquipment/cac:ShipmentDocumentReference/cbc:ID </t>
  </si>
  <si>
    <t>/DespatchAdvice/cac:Shipment/cac:TransportHandlingUnit/cac:TransportEquipment/cac:AttachedTransportEquipment/cac:ShipmentDocumentReference/cbc:ID@schemeID</t>
  </si>
  <si>
    <t>Tipo de documento de identidad del conductor</t>
  </si>
  <si>
    <t>Número de documento de identidad del conductor</t>
  </si>
  <si>
    <t xml:space="preserve">/DespatchAdvice/cac:Shipment/cac:ShipmentStage/cac:DriverPerson/cbc:FirstName </t>
  </si>
  <si>
    <t>Apellidos y nombres del conductor
(Nombres)</t>
  </si>
  <si>
    <t>/DespatchAdvice/cac:Shipment/cac:ShipmentStage/cac:DriverPerson/cbc:FamilyName</t>
  </si>
  <si>
    <t>Apellidos y nombres del conductor
 (Apellidos)</t>
  </si>
  <si>
    <t>Secundario</t>
  </si>
  <si>
    <t>Principal</t>
  </si>
  <si>
    <t xml:space="preserve">/DespatchAdvice/cac:Shipment/cac:Delivery/cac:Despatch/cac:DespatchAddress/cac:LocationCoordinate/cbc:LatitudeDegreesMeasure </t>
  </si>
  <si>
    <t>/DespatchAdvice/cac:Shipment/cac:Delivery/cac:Despatch/cac:DespatchAddress/cac:LocationCoordinate/cbc:LongitudeDegreesMeasure</t>
  </si>
  <si>
    <t xml:space="preserve">/DespatchAdvice/cac:Shipment/cac:FirstArrivalPortLocation/cbc:ID </t>
  </si>
  <si>
    <t>/DespatchAdvice/cac:Shipment/cac:FirstArrivalPortLocation/cbc:LocationTypeCode</t>
  </si>
  <si>
    <t>rucAsociadoPuntoPartida</t>
  </si>
  <si>
    <t>codEstablecimientoPuntoPartida</t>
  </si>
  <si>
    <t>longitudPuntoGeorreferenciaPartida</t>
  </si>
  <si>
    <t>latitudPuntoGeorreferenciaPartida</t>
  </si>
  <si>
    <t>numDocumentoConductor</t>
  </si>
  <si>
    <t>nombresConductor</t>
  </si>
  <si>
    <t>apellidosConductor</t>
  </si>
  <si>
    <t>numLicenciaConducir</t>
  </si>
  <si>
    <t>tipDocumentoConductor</t>
  </si>
  <si>
    <t>numPlacaVehículoPrincipal</t>
  </si>
  <si>
    <t>codEntidadEmisoraPrincipal</t>
  </si>
  <si>
    <t>numeroRegistroMTCTransportista</t>
  </si>
  <si>
    <t>numAutorizacionTransportista</t>
  </si>
  <si>
    <t>codEntidadAutorizadoraTransportista</t>
  </si>
  <si>
    <t>tarjetaUnicaCirculacionElecPrincipal</t>
  </si>
  <si>
    <t>numAutorizacionPrincipal</t>
  </si>
  <si>
    <t>nombrePuertoAeropuerto</t>
  </si>
  <si>
    <t>tipEventoDatosEnvio</t>
  </si>
  <si>
    <t>1 - Puerto
2 - Aeropuerto</t>
  </si>
  <si>
    <t>codPuertoAeropuerto</t>
  </si>
  <si>
    <t>tipLocacionCodPuertoAeropuerto</t>
  </si>
  <si>
    <t>Código del puerto o aeropuerto</t>
  </si>
  <si>
    <t>Código del puerto o aeropuerto
(Tipo de locación)</t>
  </si>
  <si>
    <t>DOR</t>
  </si>
  <si>
    <t>Datos de cabecera</t>
  </si>
  <si>
    <t>GRR</t>
  </si>
  <si>
    <t>Primera columna de la fila TXT</t>
  </si>
  <si>
    <t>JSON: GRR</t>
  </si>
  <si>
    <t>BIE</t>
  </si>
  <si>
    <t>Archivo texto:  RRRRRRRRRRR-09-TXXX-99999999.TXT</t>
  </si>
  <si>
    <t>Archivo: Cabecera (RRRRRRRRRRR-09-TXXX-999999999.GRR)</t>
  </si>
  <si>
    <t>Archivo: Detalle (RRRRRRRRRRR-09-TXXX-999999999.ENV)</t>
  </si>
  <si>
    <t>Archivo: Detalle (RRRRRRRRRRR-09-TXXX-999999999.BIE)</t>
  </si>
  <si>
    <t>Archivo: Documento relacionado (RRRRRRRRRRR-09-TXXX-999999999.DOR)</t>
  </si>
  <si>
    <t>ENV</t>
  </si>
  <si>
    <t>/DespatchAdvice/cac:Shipment/cac:Delivery/cac:DeliveryAddress/cac:LocationCoordinate/cbc:LatitudeDegreesMeasure</t>
  </si>
  <si>
    <t>/DespatchAdvice/cac:Shipment/cac:Delivery/cac:DeliveryAddress/cac:LocationCoordinate/cbc:LongitudeDegreesMeasure</t>
  </si>
  <si>
    <t>PLL</t>
  </si>
  <si>
    <t>Archivo: Detalle (RRRRRRRRRRR-09-TXXX-999999999.PLL)</t>
  </si>
  <si>
    <t>Archivo: Detalle (RRRRRRRRRRR-09-TXXX-999999999.CON)</t>
  </si>
  <si>
    <t>EPA</t>
  </si>
  <si>
    <t>Archivo: Detalle (RRRRRRRRRRR-09-TXXX-999999999.EPA)</t>
  </si>
  <si>
    <t>VPS</t>
  </si>
  <si>
    <t>Archivo: Detalle (RRRRRRRRRRR-09-TXXX-999999999.VPS)</t>
  </si>
  <si>
    <t>Principal
Secundario</t>
  </si>
  <si>
    <t>tipConductor</t>
  </si>
  <si>
    <t>Partida</t>
  </si>
  <si>
    <t>Llegada</t>
  </si>
  <si>
    <t>tipDireccionPunto</t>
  </si>
  <si>
    <t>Partida
Llegada</t>
  </si>
  <si>
    <t>tipVehiculo</t>
  </si>
  <si>
    <t>Tipo de direcciondel Punto: Partida / Llegada</t>
  </si>
  <si>
    <t>Tipo de vehiculo: Principal / Secundario</t>
  </si>
  <si>
    <t>Archivo texto:  RRRRRRRRRRR-31-VXXX-99999999.TXT</t>
  </si>
  <si>
    <t>Archivo: Detalle (RRRRRRRRRRR-31-VXXX-999999999.VPS)</t>
  </si>
  <si>
    <t>Archivo: Detalle (RRRRRRRRRRR-31-VXXX-999999999.CON)</t>
  </si>
  <si>
    <t>Archivo: Detalle (RRRRRRRRRRR-31-VXXX-999999999.PLL)</t>
  </si>
  <si>
    <t>Archivo: Detalle (RRRRRRRRRRR-31-VXXX-999999999.BIE)</t>
  </si>
  <si>
    <t>Archivo: Documento relacionado (RRRRRRRRRRR-31-VXXX-999999999.DOR)</t>
  </si>
  <si>
    <t>GUIA REMISION TRANSPORTISTA</t>
  </si>
  <si>
    <t>Partida arancelaria
Indicador de bien normalizado
(Nombre del concepto)</t>
  </si>
  <si>
    <t>Partida arancelaria
Indicador de bien normalizado
(Código del concepto)</t>
  </si>
  <si>
    <t>/DespatchAdvice/cac:Shipment/cac:Consignment/cac:LogisticsOperatorParty/cac:PartyIdentification/cbc:ID@schemeID</t>
  </si>
  <si>
    <t>Tipo de documento de identidad  del subcontratador</t>
  </si>
  <si>
    <t xml:space="preserve">/DespatchAdvice/cac:Shipment/cac:Consignment/cac:LogisticsOperatorParty/cac:PartyIdentification/cbc:ID </t>
  </si>
  <si>
    <t>Número de documento de identidad  del subcontratador
 (Número de RUC)</t>
  </si>
  <si>
    <t>Datos quien paga el servicio de transporte - solo se completa cuando paga un tercero</t>
  </si>
  <si>
    <t>Archivo: Cabecera (RRRRRRRRRRR-31-VXXX-999999999.GRT)</t>
  </si>
  <si>
    <t>GRT</t>
  </si>
  <si>
    <t>Número de documento de identidad de quien paga el servicio</t>
  </si>
  <si>
    <t>Tipo de documento de identidad de quien paga el servicio</t>
  </si>
  <si>
    <t>/DespatchAdvice/cac:OriginatorCustomerParty/cac:Party/cac:PartyIdentification/cbc:ID@schemeID</t>
  </si>
  <si>
    <t>/DespatchAdvice/cac:OriginatorCustomerParty/cac:Party/cac:PartyIdentification/cbc:ID</t>
  </si>
  <si>
    <t>Archivo: Detalle (RRRRRRRRRRR-31-VXXX-999999999.TSL)</t>
  </si>
  <si>
    <t>Archivo: Detalle (RRRRRRRRRRR-31-VXXX-999999999.TTA)</t>
  </si>
  <si>
    <t>TTA</t>
  </si>
  <si>
    <t>Archivo: Detalle (RRRRRRRRRRR-09-TXXX-999999999.TTA)</t>
  </si>
  <si>
    <t>TSL</t>
  </si>
  <si>
    <t>Anotación opcional sobre los bienes a transportar</t>
  </si>
  <si>
    <t>psoBrutoTotalCargaTraslado</t>
  </si>
  <si>
    <t>uniMedidaPesoBrutoTraslado</t>
  </si>
  <si>
    <t>tipEventoTraslado</t>
  </si>
  <si>
    <t>"KGM" Kilogramos
"TNE" Toneladass</t>
  </si>
  <si>
    <t>anotacionOpcionalBienesTraslado</t>
  </si>
  <si>
    <t>indTrasladoTotalBienes</t>
  </si>
  <si>
    <t>indPagadorFlete</t>
  </si>
  <si>
    <t>indTransporteSubcontratado</t>
  </si>
  <si>
    <t>indRetornoVehiculoEnvasesEmbalajes</t>
  </si>
  <si>
    <t>JSON: GRT</t>
  </si>
  <si>
    <t>Descripción de Error u Observación</t>
  </si>
  <si>
    <t>0100</t>
  </si>
  <si>
    <t>El sistema no puede responder su solicitud. Intente nuevamente o comuníquese con su Administrador</t>
  </si>
  <si>
    <t>0101</t>
  </si>
  <si>
    <t>El encabezado de seguridad es incorrecto</t>
  </si>
  <si>
    <t>0102</t>
  </si>
  <si>
    <t>Usuario o contrasena incorrectos</t>
  </si>
  <si>
    <t>0103</t>
  </si>
  <si>
    <t>El Usuario ingresado no existe</t>
  </si>
  <si>
    <t>0104</t>
  </si>
  <si>
    <t>La Clave ingresada es incorrecta</t>
  </si>
  <si>
    <t>0105</t>
  </si>
  <si>
    <t>El Usuario no está activo</t>
  </si>
  <si>
    <t>0106</t>
  </si>
  <si>
    <t>El Usuario no es válido</t>
  </si>
  <si>
    <t>0109</t>
  </si>
  <si>
    <t>El sistema no puede responder su solicitud. (El servicio de autenticación no está disponible)</t>
  </si>
  <si>
    <t>0110</t>
  </si>
  <si>
    <t>No se pudo obtener la informacion del tipo de usuario</t>
  </si>
  <si>
    <t>0111</t>
  </si>
  <si>
    <t>No tiene el perfil para enviar comprobantes electronicos</t>
  </si>
  <si>
    <t>0112</t>
  </si>
  <si>
    <t>El usuario debe ser secundario</t>
  </si>
  <si>
    <t>0113</t>
  </si>
  <si>
    <t>El usuario no esta afiliado a Factura Electronica</t>
  </si>
  <si>
    <t>0125</t>
  </si>
  <si>
    <t>No se pudo obtener la constancia</t>
  </si>
  <si>
    <t>0126</t>
  </si>
  <si>
    <t>El ticket no le pertenece al usuario</t>
  </si>
  <si>
    <t>0127</t>
  </si>
  <si>
    <t>El ticket no existe</t>
  </si>
  <si>
    <t>0130</t>
  </si>
  <si>
    <t>El sistema no puede responder su solicitud. (No se pudo obtener el ticket de proceso)</t>
  </si>
  <si>
    <t>0131</t>
  </si>
  <si>
    <t>El sistema no puede responder su solicitud. (No se pudo grabar el archivo en el directorio)</t>
  </si>
  <si>
    <t>0132</t>
  </si>
  <si>
    <t>El sistema no puede responder su solicitud. (No se pudo grabar escribir en el archivo zip)</t>
  </si>
  <si>
    <t>0133</t>
  </si>
  <si>
    <t>El sistema no puede responder su solicitud. (No se pudo grabar la entrada del log)</t>
  </si>
  <si>
    <t>0134</t>
  </si>
  <si>
    <t>El sistema no puede responder su solicitud. (No se pudo grabar en el storage)</t>
  </si>
  <si>
    <t>0135</t>
  </si>
  <si>
    <t>El sistema no puede responder su solicitud. (No se pudo encolar el pedido)</t>
  </si>
  <si>
    <t>0136</t>
  </si>
  <si>
    <t>El sistema no puede responder su solicitud. (No se pudo recibir una respuesta del batch)</t>
  </si>
  <si>
    <t>0137</t>
  </si>
  <si>
    <t>El sistema no puede responder su solicitud. (Se obtuvo una respuesta nula)</t>
  </si>
  <si>
    <t>0138</t>
  </si>
  <si>
    <t>El sistema no puede responder su solicitud. (Error en Base de Datos)</t>
  </si>
  <si>
    <t>0140</t>
  </si>
  <si>
    <t>Existe un Documento igual en Proceso.</t>
  </si>
  <si>
    <t>0151</t>
  </si>
  <si>
    <t>El nombre del archivo ZIP es incorrecto</t>
  </si>
  <si>
    <t>0152</t>
  </si>
  <si>
    <t>No se puede enviar por este método un archivo de resumen</t>
  </si>
  <si>
    <t>0153</t>
  </si>
  <si>
    <t>No se puede enviar por este método un archivo por lotes</t>
  </si>
  <si>
    <t>0154</t>
  </si>
  <si>
    <t>El RUC del archivo no corresponde al RUC del usuario o el proveedor no esta autorizado a enviar comprobantes del contribuyente</t>
  </si>
  <si>
    <t>0155</t>
  </si>
  <si>
    <t>El archivo ZIP esta vacio</t>
  </si>
  <si>
    <t>0156</t>
  </si>
  <si>
    <t>El archivo ZIP esta corrupto</t>
  </si>
  <si>
    <t>0157</t>
  </si>
  <si>
    <t>El archivo ZIP no contiene comprobantes</t>
  </si>
  <si>
    <t>0158</t>
  </si>
  <si>
    <t>El archivo ZIP contiene demasiados comprobantes para este tipo de envío</t>
  </si>
  <si>
    <t>0159</t>
  </si>
  <si>
    <t>El nombre del archivo XML es incorrecto</t>
  </si>
  <si>
    <t>0160</t>
  </si>
  <si>
    <t>El archivo XML esta vacio</t>
  </si>
  <si>
    <t>0161</t>
  </si>
  <si>
    <t>El nombre del archivo XML no coincide con el nombre del archivo ZIP</t>
  </si>
  <si>
    <t>0200</t>
  </si>
  <si>
    <t>No se pudo procesar su solicitud. (Ocurrio un error en el batch)</t>
  </si>
  <si>
    <t>0201</t>
  </si>
  <si>
    <t>No se pudo procesar su solicitud. (Llego un requerimiento nulo al batch)</t>
  </si>
  <si>
    <t>0202</t>
  </si>
  <si>
    <t>No se pudo procesar su solicitud. (No llego información del archivo ZIP)</t>
  </si>
  <si>
    <t>0203</t>
  </si>
  <si>
    <t>No se pudo procesar su solicitud. (No se encontro archivos en la informacion del archivo ZIP)</t>
  </si>
  <si>
    <t>0204</t>
  </si>
  <si>
    <t>No se pudo procesar su solicitud. (Este tipo de requerimiento solo acepta 1 archivo)</t>
  </si>
  <si>
    <t>0250</t>
  </si>
  <si>
    <t>No se pudo procesar su solicitud. (Ocurrio un error desconocido al hacer unzip)</t>
  </si>
  <si>
    <t>0251</t>
  </si>
  <si>
    <t>No se pudo procesar su solicitud. (No se pudo crear un directorio para el unzip)</t>
  </si>
  <si>
    <t>0252</t>
  </si>
  <si>
    <t>No se pudo procesar su solicitud. (No se encontro archivos dentro del zip)</t>
  </si>
  <si>
    <t>0253</t>
  </si>
  <si>
    <t>No se pudo procesar su solicitud. (No se pudo comprimir la constancia)</t>
  </si>
  <si>
    <t>0254</t>
  </si>
  <si>
    <t>No se pudo procesar su solicitud. (No se pudo enviar el mensaje)</t>
  </si>
  <si>
    <t>0300</t>
  </si>
  <si>
    <t>No se encontró la raíz documento xml</t>
  </si>
  <si>
    <t>0301</t>
  </si>
  <si>
    <t>Elemento raiz del xml no esta definido</t>
  </si>
  <si>
    <t>0302</t>
  </si>
  <si>
    <t>Codigo del tipo de comprobante no registrado</t>
  </si>
  <si>
    <t>0303</t>
  </si>
  <si>
    <t>No existe el directorio de schemas</t>
  </si>
  <si>
    <t>0304</t>
  </si>
  <si>
    <t>No existe el archivo de schema</t>
  </si>
  <si>
    <t>0305</t>
  </si>
  <si>
    <t>El sistema no puede procesar el archivo xml</t>
  </si>
  <si>
    <t>0306</t>
  </si>
  <si>
    <t>No se puede leer (parsear) el archivo XML</t>
  </si>
  <si>
    <t>0307</t>
  </si>
  <si>
    <t>No se pudo recuperar la constancia</t>
  </si>
  <si>
    <t>0400</t>
  </si>
  <si>
    <t>No tiene permiso para enviar casos de pruebas</t>
  </si>
  <si>
    <t>0401</t>
  </si>
  <si>
    <t>El caso de prueba no existe</t>
  </si>
  <si>
    <t>0402</t>
  </si>
  <si>
    <t>La numeracion o nombre del documento ya ha sido enviado anteriormente</t>
  </si>
  <si>
    <t>0403</t>
  </si>
  <si>
    <t>El documento afectado por la nota no existe</t>
  </si>
  <si>
    <t>0404</t>
  </si>
  <si>
    <t>El documento afectado por la nota se encuentra rechazado</t>
  </si>
  <si>
    <t>ID - El dato SERIE-CORRELATIVO no cumple con el formato de acuerdo al tipo de comprobante</t>
  </si>
  <si>
    <t>1002</t>
  </si>
  <si>
    <t>El XML no contiene informacion en el tag ID</t>
  </si>
  <si>
    <t>1003</t>
  </si>
  <si>
    <t>InvoiceTypeCode - El valor del tipo de documento es invalido o no coincide con el nombre del archivo</t>
  </si>
  <si>
    <t>1004</t>
  </si>
  <si>
    <t>El XML no contiene el tag o no existe informacion de InvoiceTypeCode</t>
  </si>
  <si>
    <t>1005</t>
  </si>
  <si>
    <t>CustomerAssignedAccountID -  El dato ingresado no cumple con el estandar</t>
  </si>
  <si>
    <t>1006</t>
  </si>
  <si>
    <t>El XML no contiene el tag o no existe informacion de CustomerAssignedAccountID del emisor del documento</t>
  </si>
  <si>
    <t>1007</t>
  </si>
  <si>
    <t>El dato ingresado no cumple con el estandar</t>
  </si>
  <si>
    <t>1008</t>
  </si>
  <si>
    <t>El XML no contiene el tag o no existe informacion en tipo de documento del emisor.</t>
  </si>
  <si>
    <t>1009</t>
  </si>
  <si>
    <t>IssueDate - El dato ingresado  no cumple con el patron YYYY-MM-DD</t>
  </si>
  <si>
    <t>1010</t>
  </si>
  <si>
    <t>El XML no contiene el tag IssueDate</t>
  </si>
  <si>
    <t>1011</t>
  </si>
  <si>
    <t>IssueDate- El dato ingresado no es valido</t>
  </si>
  <si>
    <t>1012</t>
  </si>
  <si>
    <t>ID - El dato ingresado no cumple con el patron SERIE-CORRELATIVO</t>
  </si>
  <si>
    <t>1013</t>
  </si>
  <si>
    <t>1014</t>
  </si>
  <si>
    <t>CustomerAssignedAccountID - El dato ingresado no cumple con el estandar</t>
  </si>
  <si>
    <t>1015</t>
  </si>
  <si>
    <t>1016</t>
  </si>
  <si>
    <t>AdditionalAccountID - El dato ingresado no cumple con el estandar</t>
  </si>
  <si>
    <t>1017</t>
  </si>
  <si>
    <t>El XML no contiene el tag AdditionalAccountID del emisor del documento</t>
  </si>
  <si>
    <t>1018</t>
  </si>
  <si>
    <t>IssueDate - El dato ingresado no cumple con el patron YYYY-MM-DD</t>
  </si>
  <si>
    <t>1019</t>
  </si>
  <si>
    <t>1020</t>
  </si>
  <si>
    <t>1021</t>
  </si>
  <si>
    <t>Error en la validacion de la nota de credito</t>
  </si>
  <si>
    <t>1022</t>
  </si>
  <si>
    <t>La serie o numero del documento modificado por la Nota Electrónica no cumple con el formato establecido</t>
  </si>
  <si>
    <t>1023</t>
  </si>
  <si>
    <t>No se ha especificado el tipo de documento modificado por la Nota electronica</t>
  </si>
  <si>
    <t>1024</t>
  </si>
  <si>
    <t>1025</t>
  </si>
  <si>
    <t>1026</t>
  </si>
  <si>
    <t>1027</t>
  </si>
  <si>
    <t>1028</t>
  </si>
  <si>
    <t>1029</t>
  </si>
  <si>
    <t>1030</t>
  </si>
  <si>
    <t>1031</t>
  </si>
  <si>
    <t>Error en la validacion de la nota de debito</t>
  </si>
  <si>
    <t>El comprobante ya esta informado y se encuentra con estado anulado o rechazado</t>
  </si>
  <si>
    <t>El comprobante fue registrado previamente con otros datos</t>
  </si>
  <si>
    <t>Número de RUC del nombre del archivo no coincide con el consignado en el contenido del archivo XML</t>
  </si>
  <si>
    <t>Numero de Serie del nombre del archivo no coincide con el consignado en el contenido del archivo XML</t>
  </si>
  <si>
    <t>Número de documento en el nombre del archivo no coincide con el consignado en el contenido del XML</t>
  </si>
  <si>
    <t>El XML no contiene el tag o no existe informacion de RegistrationName del emisor del documento</t>
  </si>
  <si>
    <t>1038</t>
  </si>
  <si>
    <t>RegistrationName - El nombre o razon social del emisor no cumple con el estandar</t>
  </si>
  <si>
    <t>1039</t>
  </si>
  <si>
    <t>Solo se pueden recibir notas electronicas que modifican facturas</t>
  </si>
  <si>
    <t>1040</t>
  </si>
  <si>
    <t>El tipo de documento modificado por la nota electronica no es valido</t>
  </si>
  <si>
    <t>1041</t>
  </si>
  <si>
    <t>cac:PrepaidPayment/cbc:ID - El tag no contiene el atributo @SchemaID. que indica el tipo de documento que realiza el anticipo</t>
  </si>
  <si>
    <t>1042</t>
  </si>
  <si>
    <t>cac:PrepaidPayment/cbc:InstructionID - El tag no contiene el atributo @SchemaID. Que indica el tipo de documento del emisor del documento del anticipo.</t>
  </si>
  <si>
    <t>1043</t>
  </si>
  <si>
    <t>cac:OriginatorDocumentReference/cbc:ID - El tag no contiene el atributo @SchemaID. Que indica el tipo de documento del originador del documento electrónico.</t>
  </si>
  <si>
    <t>1044</t>
  </si>
  <si>
    <t>cac:PrepaidPayment/cbc:InstructionID - El dato ingresado no cumple con el estándar.</t>
  </si>
  <si>
    <t>1045</t>
  </si>
  <si>
    <t>cac:OriginatorDocumentReference/cbc:ID - El dato ingresado no cumple con el estándar.</t>
  </si>
  <si>
    <t>1046</t>
  </si>
  <si>
    <t>cbc:Amount - El dato ingresado no cumple con el estándar.</t>
  </si>
  <si>
    <t>1047</t>
  </si>
  <si>
    <t>cbc:Quantity - El dato ingresado no cumple con el estándar.</t>
  </si>
  <si>
    <t>1048</t>
  </si>
  <si>
    <t>El XML no contiene el tag o no existe información de PrepaidAmount para un documento con anticipo.</t>
  </si>
  <si>
    <t>1049</t>
  </si>
  <si>
    <t>ID - Serie y Número del archivo no coincide con el consignado en el contenido del XML.</t>
  </si>
  <si>
    <t>El XML no contiene informacion en el tag DespatchAdviceTypeCode.</t>
  </si>
  <si>
    <t>DespatchAdviceTypeCode - El valor del tipo de guía es inválido.</t>
  </si>
  <si>
    <t>1052</t>
  </si>
  <si>
    <t>DespatchAdviceTypeCode - No coincide con el consignado en el contenido del XML.</t>
  </si>
  <si>
    <t>1053</t>
  </si>
  <si>
    <t>cac:OrderReference - El XML no contiene informacion en serie y numero dado de baja (cbc:ID).</t>
  </si>
  <si>
    <t>1054</t>
  </si>
  <si>
    <t>cac:OrderReference - El valor en numero de documento no cumple con un formato valido (SERIE-NUMERO).</t>
  </si>
  <si>
    <t>1055</t>
  </si>
  <si>
    <t>cac:OrderReference - Numero de serie del documento no cumple con un formato valido (EG01 ó TXXX).</t>
  </si>
  <si>
    <t>1056</t>
  </si>
  <si>
    <t>cac:OrderReference - El XML no contiene informacion en el código de tipo de documento (cbc:OrderTypeCode).</t>
  </si>
  <si>
    <t>1057</t>
  </si>
  <si>
    <t>cac:AdditionalDocumentReference - El XML no contiene el tag o no existe información en el numero de documento adicional (cbc:ID).</t>
  </si>
  <si>
    <t>1058</t>
  </si>
  <si>
    <t>cac:AdditionalDocumentReference - El XML no contiene el tag o no existe información en el tipo de documento adicional (cbc:DocumentTypeCode).</t>
  </si>
  <si>
    <t>El XML no contiene firma digital.</t>
  </si>
  <si>
    <t>1060</t>
  </si>
  <si>
    <t>cac:Shipment - El XML no contiene el tag o no existe informacion del numero de RUC del Remitente (cac:).</t>
  </si>
  <si>
    <t>1061</t>
  </si>
  <si>
    <t>El numero de RUC del Remitente no existe.</t>
  </si>
  <si>
    <t>1062</t>
  </si>
  <si>
    <t>El XML no contiene el atributo o no existe informacion del motivo de traslado.</t>
  </si>
  <si>
    <t>1063</t>
  </si>
  <si>
    <t>El valor ingresado como motivo de traslado no es valido.</t>
  </si>
  <si>
    <t>1064</t>
  </si>
  <si>
    <t>El XML no contiene el atributo o no existe informacion en el tag cac:DespatchLine de bienes a transportar.</t>
  </si>
  <si>
    <t>1065</t>
  </si>
  <si>
    <t>El XML no contiene el atributo o no existe informacion en modalidad de transporte.</t>
  </si>
  <si>
    <t>1066</t>
  </si>
  <si>
    <t>El XML no contiene el atributo o no existe informacion de datos del transportista.</t>
  </si>
  <si>
    <t>1067</t>
  </si>
  <si>
    <t>El XML no contiene el atributo o no existe información de vehiculos.</t>
  </si>
  <si>
    <t>1068</t>
  </si>
  <si>
    <t>El XML no contiene el atributo o no existe información de conductores.</t>
  </si>
  <si>
    <t>1069</t>
  </si>
  <si>
    <t>El XML no contiene el atributo o no existe información de la fecha de inicio de traslado o fecha de entrega del bien al transportista.</t>
  </si>
  <si>
    <t>1070</t>
  </si>
  <si>
    <t>El valor ingresado  como fecha de inicio o fecha de entrega al transportista no cumple con el estandar (YYYY-MM-DD).</t>
  </si>
  <si>
    <t>1071</t>
  </si>
  <si>
    <t>El valor ingresado  como fecha de inicio o fecha de entrega al transportista no es valido.</t>
  </si>
  <si>
    <t>1072</t>
  </si>
  <si>
    <t>Starttime - El dato ingresado  no cumple con el patron HH:mm:ss.SZ.</t>
  </si>
  <si>
    <t>1073</t>
  </si>
  <si>
    <t>StartTime - El dato ingresado no es valido.</t>
  </si>
  <si>
    <t>1074</t>
  </si>
  <si>
    <t>cac:Shipment - El XML no contiene o no existe información en punto de llegada (cac:DeliveryAddress).</t>
  </si>
  <si>
    <t>1075</t>
  </si>
  <si>
    <t>cac:Shipment - El XML no contiene o no existe información en punto de partida (cac:OriginAddress).</t>
  </si>
  <si>
    <t>1076</t>
  </si>
  <si>
    <t>El XML no contiene el atributo o no existe información de sustento de traslado de mercaderias para el tipo de operación.</t>
  </si>
  <si>
    <t>1077</t>
  </si>
  <si>
    <t>El XML contiene el tag de sustento de traslado de mercaderias que no corresponde al tipo de operación.</t>
  </si>
  <si>
    <t>1078</t>
  </si>
  <si>
    <t>El emisor no se encuentra autorizado a emitir en el SEE-Desde los sistemas del contribuyente</t>
  </si>
  <si>
    <t>1079</t>
  </si>
  <si>
    <t>Solo puede enviar el comprobante en un resumen diario</t>
  </si>
  <si>
    <t>1080</t>
  </si>
  <si>
    <t>Debe enviar su comprobante por el SEE-Empresas supervisadas</t>
  </si>
  <si>
    <t>1081</t>
  </si>
  <si>
    <t>Por el servicio REST de recepcion solo se reciben comprobantes asociados a servicios publicos</t>
  </si>
  <si>
    <t>1082</t>
  </si>
  <si>
    <t>Por el servicio SOAP de recepcion no se reciben comprobantes asociados a servicios publicos</t>
  </si>
  <si>
    <t>1083</t>
  </si>
  <si>
    <t>El numero de RUC del receptor no existe.</t>
  </si>
  <si>
    <t>1084</t>
  </si>
  <si>
    <t>Comprobante de contingencia ya fue informado por su resumen, si desea modificarse debe realizarse por su primer canal de presentación</t>
  </si>
  <si>
    <t>1085</t>
  </si>
  <si>
    <t>Debe enviar las guias de remisión por el nuevo sistema de recepción de guias electronicas</t>
  </si>
  <si>
    <t>El contribuyente no esta activo</t>
  </si>
  <si>
    <t>El contribuyente no esta habido</t>
  </si>
  <si>
    <t>El contribuyente no está autorizado a emitir comprobantes electrónicos</t>
  </si>
  <si>
    <t>2013</t>
  </si>
  <si>
    <t>El contribuyente no cumple con tipo de empresa o tributos requeridos</t>
  </si>
  <si>
    <t>2014</t>
  </si>
  <si>
    <t>El XML no contiene el tag o no existe informacion del número de documento de identidad del receptor del documento</t>
  </si>
  <si>
    <t>2015</t>
  </si>
  <si>
    <t>El XML no contiene el tag o no existe informacion del tipo de documento de identidad del receptor del documento</t>
  </si>
  <si>
    <t>2016</t>
  </si>
  <si>
    <t>El dato ingresado  en el tipo de documento de identidad del receptor no cumple con el estandar o no esta permitido.</t>
  </si>
  <si>
    <t>2017</t>
  </si>
  <si>
    <t>El numero de documento de identidad del receptor debe ser  RUC</t>
  </si>
  <si>
    <t>2018</t>
  </si>
  <si>
    <t>2019</t>
  </si>
  <si>
    <t>El XML no contiene el tag o no existe informacion de nombre o razon social del emisor del documento</t>
  </si>
  <si>
    <t>2020</t>
  </si>
  <si>
    <t>El nombre o razon social del emisor no cumple con el estandar</t>
  </si>
  <si>
    <t>2021</t>
  </si>
  <si>
    <t>El XML no contiene el tag o no existe informacion de RegistrationName del receptor del documento</t>
  </si>
  <si>
    <t>2022</t>
  </si>
  <si>
    <t>RegistrationName -  El dato ingresado no cumple con el estandar</t>
  </si>
  <si>
    <t>El Numero de orden del item no cumple con el formato establecido</t>
  </si>
  <si>
    <t>2024</t>
  </si>
  <si>
    <t>El XML no contiene el tag InvoicedQuantity en el detalle de los Items o es cero (0)</t>
  </si>
  <si>
    <t>2025</t>
  </si>
  <si>
    <t>InvoicedQuantity El dato ingresado no cumple con el estandar</t>
  </si>
  <si>
    <t>2026</t>
  </si>
  <si>
    <t>El XML no contiene el tag cac:Item/cbc:Description en el detalle de los Items</t>
  </si>
  <si>
    <t>2027</t>
  </si>
  <si>
    <t>El XML no contiene el tag o no existe informacion de cac:Item/cbc:Description del item</t>
  </si>
  <si>
    <t>2028</t>
  </si>
  <si>
    <t>Debe existir el tag cac:AlternativeConditionPrice</t>
  </si>
  <si>
    <t>2029</t>
  </si>
  <si>
    <t>PriceTypeCode El dato ingresado no cumple con el estandar</t>
  </si>
  <si>
    <t>2030</t>
  </si>
  <si>
    <t>El XML no contiene el tag cbc:PriceTypeCode</t>
  </si>
  <si>
    <t>2031</t>
  </si>
  <si>
    <t>El dato ingresado en total valor de venta no cumple con el estandar</t>
  </si>
  <si>
    <t>2032</t>
  </si>
  <si>
    <t>El XML no contiene el tag LineExtensionAmount en el detalle de los Items</t>
  </si>
  <si>
    <t>2033</t>
  </si>
  <si>
    <t>El dato ingresado en TaxAmount de la linea no cumple con el formato establecido</t>
  </si>
  <si>
    <t>2034</t>
  </si>
  <si>
    <t>TaxAmount es obligatorio</t>
  </si>
  <si>
    <t>2035</t>
  </si>
  <si>
    <t>cac:TaxCategory/cac:TaxScheme/cbc:ID El dato ingresado no cumple con el estandar</t>
  </si>
  <si>
    <t>2036</t>
  </si>
  <si>
    <t>El codigo del tributo es invalido</t>
  </si>
  <si>
    <t>2037</t>
  </si>
  <si>
    <t>El XML no contiene el tag cac:TaxCategory/cac:TaxScheme/cbc:ID del Item</t>
  </si>
  <si>
    <t>2038</t>
  </si>
  <si>
    <t>cac:TaxScheme/cbc:Name del item - No existe el tag o el dato ingresado no cumple con el estandar</t>
  </si>
  <si>
    <t>2039</t>
  </si>
  <si>
    <t>El XML no contiene el tag cac:TaxCategory/cac:TaxScheme/cbc:Name del Item</t>
  </si>
  <si>
    <t>2040</t>
  </si>
  <si>
    <t>El tipo de afectacion del IGV es incorrecto</t>
  </si>
  <si>
    <t>2041</t>
  </si>
  <si>
    <t>El sistema de calculo del ISC es incorrecto</t>
  </si>
  <si>
    <t>2042</t>
  </si>
  <si>
    <t>Debe indicar el IGV. Es un campo obligatorio</t>
  </si>
  <si>
    <t>2043</t>
  </si>
  <si>
    <t>El dato ingresado en PayableAmount no cumple con el formato establecido</t>
  </si>
  <si>
    <t>2044</t>
  </si>
  <si>
    <t>PayableAmount es obligatorio</t>
  </si>
  <si>
    <t>2045</t>
  </si>
  <si>
    <t>El valor ingresado en AdditionalMonetaryTotal/cbc:ID es incorrecto</t>
  </si>
  <si>
    <t>2046</t>
  </si>
  <si>
    <t>AdditionalMonetaryTotal/cbc:ID debe tener valor</t>
  </si>
  <si>
    <t>2047</t>
  </si>
  <si>
    <t>Es obligatorio al menos un AdditionalMonetaryTotal con codigo 1001, 1002, 1003 o 3001</t>
  </si>
  <si>
    <t>2048</t>
  </si>
  <si>
    <t>El dato ingresado en TaxAmount no cumple con el formato establecido</t>
  </si>
  <si>
    <t>2049</t>
  </si>
  <si>
    <t>2050</t>
  </si>
  <si>
    <t>TaxScheme ID - No existe el tag o el dato ingresado no cumple con el estandar</t>
  </si>
  <si>
    <t>2051</t>
  </si>
  <si>
    <t>2052</t>
  </si>
  <si>
    <t>El XML no contiene el tag código de tributo internacional de impuestos globales</t>
  </si>
  <si>
    <t>2053</t>
  </si>
  <si>
    <t>TaxScheme Name - No existe el tag o el dato ingresado no cumple con el estandar</t>
  </si>
  <si>
    <t>2054</t>
  </si>
  <si>
    <t>El XML no contiene el tag TaxScheme Name de impuestos globales</t>
  </si>
  <si>
    <t>2055</t>
  </si>
  <si>
    <t>TaxScheme TaxTypeCode - El dato ingresado no cumple con el estandar</t>
  </si>
  <si>
    <t>2056</t>
  </si>
  <si>
    <t>El XML no contiene el tag TaxScheme TaxTypeCode de impuestos globales</t>
  </si>
  <si>
    <t>2057</t>
  </si>
  <si>
    <t>El Name o TaxTypeCode debe corresponder con el Id para el IGV</t>
  </si>
  <si>
    <t>2058</t>
  </si>
  <si>
    <t>El Name o TaxTypeCode debe corresponder con el Id para el ISC</t>
  </si>
  <si>
    <t>2059</t>
  </si>
  <si>
    <t>El dato ingresado en TaxSubtotal/cbc:TaxAmount no cumple con el formato establecido</t>
  </si>
  <si>
    <t>2060</t>
  </si>
  <si>
    <t>TaxSubtotal/cbc:TaxAmount es obligatorio</t>
  </si>
  <si>
    <t>2061</t>
  </si>
  <si>
    <t>El tag global cac:TaxTotal/cbc:TaxAmount debe tener el mismo valor que cac:TaxTotal/cac:Subtotal/cbc:TaxAmount</t>
  </si>
  <si>
    <t>2062</t>
  </si>
  <si>
    <t>2063</t>
  </si>
  <si>
    <t>El XML no contiene el tag PayableAmount</t>
  </si>
  <si>
    <t>2064</t>
  </si>
  <si>
    <t>El dato ingresado en ChargeTotalAmount no cumple con el formato establecido</t>
  </si>
  <si>
    <t>2065</t>
  </si>
  <si>
    <t>El dato ingresado en el campo Total Descuentos no cumple con el formato establecido</t>
  </si>
  <si>
    <t>2066</t>
  </si>
  <si>
    <t>Debe indicar una descripcion para el tag sac:AdditionalProperty/cbc:Value</t>
  </si>
  <si>
    <t>2067</t>
  </si>
  <si>
    <t>cac:Price/cbc:PriceAmount - El dato ingresado no cumple con el estandar</t>
  </si>
  <si>
    <t>2068</t>
  </si>
  <si>
    <t>El XML no contiene el tag cac:Price/cbc:PriceAmount en el detalle de los Items</t>
  </si>
  <si>
    <t>2069</t>
  </si>
  <si>
    <t>DocumentCurrencyCode - El dato ingresado no cumple con la estructura</t>
  </si>
  <si>
    <t>2070</t>
  </si>
  <si>
    <t>El XML no contiene el tag o no existe informacion de DocumentCurrencyCode</t>
  </si>
  <si>
    <t>2071</t>
  </si>
  <si>
    <t>La moneda debe ser la misma en todo el documento. Salvo las percepciones que sólo son en moneda nacional</t>
  </si>
  <si>
    <t>2072</t>
  </si>
  <si>
    <t>CustomizationID - La versión del documento no es la correcta</t>
  </si>
  <si>
    <t>2073</t>
  </si>
  <si>
    <t>El XML no existe informacion de CustomizationID</t>
  </si>
  <si>
    <t>2074</t>
  </si>
  <si>
    <t>UBLVersionID - La versión del UBL no es correcta</t>
  </si>
  <si>
    <t>2075</t>
  </si>
  <si>
    <t>El XML no contiene el tag o no existe informacion de UBLVersionID</t>
  </si>
  <si>
    <t>2076</t>
  </si>
  <si>
    <t>cac:Signature/cbc:ID - Falta el identificador de la firma</t>
  </si>
  <si>
    <t>2077</t>
  </si>
  <si>
    <t>El tag cac:Signature/cbc:ID debe contener informacion</t>
  </si>
  <si>
    <t>2078</t>
  </si>
  <si>
    <t>cac:Signature/cac:SignatoryParty/cac:PartyIdentification/cbc:ID - Debe ser igual al RUC del emisor</t>
  </si>
  <si>
    <t>2079</t>
  </si>
  <si>
    <t>El XML no contiene el tag cac:Signature/cac:SignatoryParty/cac:PartyIdentification/cbc:ID</t>
  </si>
  <si>
    <t>2080</t>
  </si>
  <si>
    <t>cac:Signature/cac:SignatoryParty/cac:PartyName/cbc:Name - No cumple con el estandar</t>
  </si>
  <si>
    <t>2081</t>
  </si>
  <si>
    <t>El XML no contiene el tag cac:Signature/cac:SignatoryParty/cac:PartyName/cbc:Name</t>
  </si>
  <si>
    <t>2082</t>
  </si>
  <si>
    <t>cac:Signature/cac:DigitalSignatureAttachment/cac:ExternalReference/cbc:URI - No cumple con el estandar</t>
  </si>
  <si>
    <t>2083</t>
  </si>
  <si>
    <t>El XML no contiene el tag cac:Signature/cac:DigitalSignatureAttachment/cac:ExternalReference/cbc:URI</t>
  </si>
  <si>
    <t>2084</t>
  </si>
  <si>
    <t>ext:UBLExtensions/ext:UBLExtension/ext:ExtensionContent/ds:Signature/@Id - No cumple con el estandar</t>
  </si>
  <si>
    <t>2085</t>
  </si>
  <si>
    <t>El XML no contiene el tag ext:UBLExtensions/ext:UBLExtension/ext:ExtensionContent/ds:Signature/@Id</t>
  </si>
  <si>
    <t>2086</t>
  </si>
  <si>
    <t>ext:UBLExtensions/.../ds:Signature/ds:SignedInfo/ds:CanonicalizationMethod/@Algorithm - No cumple con el estandar</t>
  </si>
  <si>
    <t>2087</t>
  </si>
  <si>
    <t>El XML no contiene el tag ext:UBLExtensions/.../ds:Signature/ds:SignedInfo/ds:CanonicalizationMethod/@Algorithm</t>
  </si>
  <si>
    <t>2088</t>
  </si>
  <si>
    <t>ext:UBLExtensions/.../ds:Signature/ds:SignedInfo/ds:SignatureMethod/@Algorithm - No cumple con el estandar</t>
  </si>
  <si>
    <t>2089</t>
  </si>
  <si>
    <t>El XML no contiene el tag ext:UBLExtensions/.../ds:Signature/ds:SignedInfo/ds:SignatureMethod/@Algorithm</t>
  </si>
  <si>
    <t>2090</t>
  </si>
  <si>
    <t>ext:UBLExtensions/.../ds:Signature/ds:SignedInfo/ds:Reference/@URI - Debe estar vacio para id</t>
  </si>
  <si>
    <t>2091</t>
  </si>
  <si>
    <t>El XML no contiene el tag ext:UBLExtensions/.../ds:Signature/ds:SignedInfo/ds:Reference/@URI</t>
  </si>
  <si>
    <t>2092</t>
  </si>
  <si>
    <t>ext:UBLExtensions/.../ds:Signature/ds:SignedInfo/.../ds:Transform@Algorithm - No cumple con el estandar</t>
  </si>
  <si>
    <t>2093</t>
  </si>
  <si>
    <t>El XML no contiene el tag ext:UBLExtensions/.../ds:Signature/ds:SignedInfo/ds:Reference/ds:Transform@Algorithm</t>
  </si>
  <si>
    <t>2094</t>
  </si>
  <si>
    <t>ext:UBLExtensions/.../ds:Signature/ds:SignedInfo/ds:Reference/ds:DigestMethod/@Algorithm - No cumple con el estandar</t>
  </si>
  <si>
    <t>2095</t>
  </si>
  <si>
    <t>El XML no contiene el tag ext:UBLExtensions/.../ds:Signature/ds:SignedInfo/ds:Reference/ds:DigestMethod/@Algorithm</t>
  </si>
  <si>
    <t>2096</t>
  </si>
  <si>
    <t>ext:UBLExtensions/.../ds:Signature/ds:SignedInfo/ds:Reference/ds:DigestValue - No  cumple con el estandar</t>
  </si>
  <si>
    <t>2097</t>
  </si>
  <si>
    <t>El XML no contiene el tag ext:UBLExtensions/.../ds:Signature/ds:SignedInfo/ds:Reference/ds:DigestValue</t>
  </si>
  <si>
    <t>2098</t>
  </si>
  <si>
    <t>ext:UBLExtensions/.../ds:Signature/ds:SignatureValue - No cumple con el estandar</t>
  </si>
  <si>
    <t>2099</t>
  </si>
  <si>
    <t>El XML no contiene el tag ext:UBLExtensions/.../ds:Signature/ds:SignatureValue</t>
  </si>
  <si>
    <t>2100</t>
  </si>
  <si>
    <t>ext:UBLExtensions/.../ds:Signature/ds:KeyInfo/ds:X509Data/ds:X509Certificate - No cumple con el estandar</t>
  </si>
  <si>
    <t>2101</t>
  </si>
  <si>
    <t>El XML no contiene el tag ext:UBLExtensions/.../ds:Signature/ds:KeyInfo/ds:X509Data/ds:X509Certificate</t>
  </si>
  <si>
    <t>2102</t>
  </si>
  <si>
    <t>Error al procesar la factura</t>
  </si>
  <si>
    <t>2103</t>
  </si>
  <si>
    <t>La serie ingresada no es válida</t>
  </si>
  <si>
    <t>2104</t>
  </si>
  <si>
    <t>Numero de RUC del emisor no existe</t>
  </si>
  <si>
    <t>2105</t>
  </si>
  <si>
    <t>Comprobante a dar de baja no se encuentra registrado en SUNAT</t>
  </si>
  <si>
    <t>2106</t>
  </si>
  <si>
    <t>Factura a dar de baja ya se encuentra en estado de baja</t>
  </si>
  <si>
    <t>2107</t>
  </si>
  <si>
    <t>Numero de RUC SOL no coincide con RUC emisor</t>
  </si>
  <si>
    <t>Presentacion fuera de fecha</t>
  </si>
  <si>
    <t>2109</t>
  </si>
  <si>
    <t>CustomizationID - La version del documento no es correcta</t>
  </si>
  <si>
    <t>El XML no contiene el tag o no existe informacion de CustomizationID</t>
  </si>
  <si>
    <t>2114</t>
  </si>
  <si>
    <t>DocumentCurrencyCode -  El dato ingresado no cumple con la estructura</t>
  </si>
  <si>
    <t>2115</t>
  </si>
  <si>
    <t>2116</t>
  </si>
  <si>
    <t>El tipo de documento modificado por la Nota de credito debe ser factura electronica o ticket</t>
  </si>
  <si>
    <t>2117</t>
  </si>
  <si>
    <t>La serie o numero del documento modificado por la Nota de Credito no cumple con el formato establecido</t>
  </si>
  <si>
    <t>2118</t>
  </si>
  <si>
    <t>Debe indicar las facturas relacionadas a la Nota de Credito</t>
  </si>
  <si>
    <t>2119</t>
  </si>
  <si>
    <t>El documento modificado en la Nota de credito no esta registrada.</t>
  </si>
  <si>
    <t>2120</t>
  </si>
  <si>
    <t>El documento modificado en la Nota de credito se encuentra de baja</t>
  </si>
  <si>
    <t>2121</t>
  </si>
  <si>
    <t>El documento modificado en la Nota de credito esta registrada como rechazada</t>
  </si>
  <si>
    <t>2122</t>
  </si>
  <si>
    <t>El tag cac:LegalMonetaryTotal/cbc:PayableAmount debe tener informacion valida</t>
  </si>
  <si>
    <t>2123</t>
  </si>
  <si>
    <t>2124</t>
  </si>
  <si>
    <t>El XML no contiene el tag RegistrationName del emisor del documento</t>
  </si>
  <si>
    <t>2125</t>
  </si>
  <si>
    <t>ReferenceID -  El dato ingresado debe indicar SERIE-CORRELATIVO del documento al que se relaciona la Nota</t>
  </si>
  <si>
    <t>2126</t>
  </si>
  <si>
    <t>El XML no contiene informacion en el tag ReferenceID del documento al que se relaciona la nota</t>
  </si>
  <si>
    <t>2127</t>
  </si>
  <si>
    <t>ResponseCode -  El dato ingresado no cumple  con  la  estructura</t>
  </si>
  <si>
    <t>2128</t>
  </si>
  <si>
    <t>El XML no contiene el tag o no existe informacion de ResponseCode</t>
  </si>
  <si>
    <t>2129</t>
  </si>
  <si>
    <t>AdditionalAccountID -  El dato ingresado  en el tipo de documento de identidad del receptor no cumple con el estandar</t>
  </si>
  <si>
    <t>2130</t>
  </si>
  <si>
    <t>El XML no contiene el tag o no existe informacion de AdditionalAccountID del receptor del documento</t>
  </si>
  <si>
    <t>2131</t>
  </si>
  <si>
    <t>CustomerAssignedAccountID - El numero de documento de identidad del receptor debe ser RUC</t>
  </si>
  <si>
    <t>2132</t>
  </si>
  <si>
    <t>El XML no contiene el tag o no existe informacion de CustomerAssignedAccountID del receptor del documento</t>
  </si>
  <si>
    <t>2133</t>
  </si>
  <si>
    <t>2134</t>
  </si>
  <si>
    <t>2135</t>
  </si>
  <si>
    <t>cac:DiscrepancyResponse/cbc:Description - El dato ingresado no cumple con la estructura</t>
  </si>
  <si>
    <t>2136</t>
  </si>
  <si>
    <t>El XML no contiene el tag o no existe informacion de cac:DiscrepancyResponse/cbc:Description</t>
  </si>
  <si>
    <t>2137</t>
  </si>
  <si>
    <t>2138</t>
  </si>
  <si>
    <t>CreditedQuantity/@unitCode - El dato ingresado no cumple con el estandar</t>
  </si>
  <si>
    <t>2139</t>
  </si>
  <si>
    <t>CreditedQuantity - El dato ingresado no cumple con el estandar</t>
  </si>
  <si>
    <t>2140</t>
  </si>
  <si>
    <t>El PriceTypeCode debe tener el valor 01</t>
  </si>
  <si>
    <t>2141</t>
  </si>
  <si>
    <t>cac:TaxCategory/cac:TaxScheme/cbc:ID - El dato ingresado no cumple con el estandar</t>
  </si>
  <si>
    <t>2142</t>
  </si>
  <si>
    <t>2143</t>
  </si>
  <si>
    <t>2144</t>
  </si>
  <si>
    <t>cac:TaxCategory/cac:TaxScheme/cbc:TaxTypeCode El dato ingresado no cumple con el estandar</t>
  </si>
  <si>
    <t>2145</t>
  </si>
  <si>
    <t>2146</t>
  </si>
  <si>
    <t>El Nombre Internacional debe ser VAT</t>
  </si>
  <si>
    <t>2147</t>
  </si>
  <si>
    <t>2148</t>
  </si>
  <si>
    <t>El Nombre Internacional debe ser EXC</t>
  </si>
  <si>
    <t>2149</t>
  </si>
  <si>
    <t>2150</t>
  </si>
  <si>
    <t>2151</t>
  </si>
  <si>
    <t>2152</t>
  </si>
  <si>
    <t>Es obligatorio al menos un AdditionalInformation</t>
  </si>
  <si>
    <t>2153</t>
  </si>
  <si>
    <t>Error al procesar la Nota de Credito</t>
  </si>
  <si>
    <t>2154</t>
  </si>
  <si>
    <t>TaxAmount - El dato ingresado en impuestos globales no cumple con el estandar</t>
  </si>
  <si>
    <t>2155</t>
  </si>
  <si>
    <t>El XML no contiene el tag TaxAmount de impuestos globales</t>
  </si>
  <si>
    <t>2156</t>
  </si>
  <si>
    <t>TaxScheme ID - El dato ingresado no cumple con el estandar</t>
  </si>
  <si>
    <t>2157</t>
  </si>
  <si>
    <t>2158</t>
  </si>
  <si>
    <t>El XML no contiene el tag o no existe informacion de TaxScheme ID de impuestos globales</t>
  </si>
  <si>
    <t>2159</t>
  </si>
  <si>
    <t>TaxScheme Name - El dato ingresado no cumple con el estandar</t>
  </si>
  <si>
    <t>2160</t>
  </si>
  <si>
    <t>El XML no contiene el tag o no existe informacion de TaxScheme Name de impuestos globales</t>
  </si>
  <si>
    <t>2161</t>
  </si>
  <si>
    <t>2162</t>
  </si>
  <si>
    <t>2163</t>
  </si>
  <si>
    <t>2164</t>
  </si>
  <si>
    <t>2165</t>
  </si>
  <si>
    <t>Error al procesar la Nota de Debito</t>
  </si>
  <si>
    <t>2166</t>
  </si>
  <si>
    <t>RegistrationName - El dato ingresado no cumple con el estandar</t>
  </si>
  <si>
    <t>2167</t>
  </si>
  <si>
    <t>2168</t>
  </si>
  <si>
    <t>DocumentCurrencyCode -  El dato ingresado no cumple con el formato establecido</t>
  </si>
  <si>
    <t>2169</t>
  </si>
  <si>
    <t>2170</t>
  </si>
  <si>
    <t>ReferenceID - El dato ingresado debe indicar SERIE-CORRELATIVO del documento al que se relaciona la Nota</t>
  </si>
  <si>
    <t>2171</t>
  </si>
  <si>
    <t>2172</t>
  </si>
  <si>
    <t>ResponseCode - El dato ingresado no cumple con la estructura</t>
  </si>
  <si>
    <t>2173</t>
  </si>
  <si>
    <t>2174</t>
  </si>
  <si>
    <t>2175</t>
  </si>
  <si>
    <t>2176</t>
  </si>
  <si>
    <t>2177</t>
  </si>
  <si>
    <t>2178</t>
  </si>
  <si>
    <t>CustomerAssignedAccountID - El numero de documento de identidad del receptor debe ser RUC.</t>
  </si>
  <si>
    <t>2179</t>
  </si>
  <si>
    <t>2180</t>
  </si>
  <si>
    <t>2181</t>
  </si>
  <si>
    <t>2182</t>
  </si>
  <si>
    <t>2183</t>
  </si>
  <si>
    <t>2184</t>
  </si>
  <si>
    <t>2185</t>
  </si>
  <si>
    <t>2186</t>
  </si>
  <si>
    <t>2187</t>
  </si>
  <si>
    <t>2188</t>
  </si>
  <si>
    <t>DebitedQuantity/@unitCode El dato ingresado no cumple con el estandar</t>
  </si>
  <si>
    <t>2189</t>
  </si>
  <si>
    <t>DebitedQuantity El dato ingresado no cumple con el estandar</t>
  </si>
  <si>
    <t>2190</t>
  </si>
  <si>
    <t>El XML no contiene el tag Price/cbc:PriceAmount en el detalle de los Items</t>
  </si>
  <si>
    <t>2191</t>
  </si>
  <si>
    <t>El XML no contiene el tag Price/cbc:LineExtensionAmount en el detalle de los Items</t>
  </si>
  <si>
    <t>2192</t>
  </si>
  <si>
    <t>EL PriceTypeCode debe tener el valor 01</t>
  </si>
  <si>
    <t>2193</t>
  </si>
  <si>
    <t>2194</t>
  </si>
  <si>
    <t>2195</t>
  </si>
  <si>
    <t>2196</t>
  </si>
  <si>
    <t>2197</t>
  </si>
  <si>
    <t>2198</t>
  </si>
  <si>
    <t>2199</t>
  </si>
  <si>
    <t>2200</t>
  </si>
  <si>
    <t>2201</t>
  </si>
  <si>
    <t>El tag cac:RequestedMonetaryTotal/cbc:PayableAmount debe tener informacion valida</t>
  </si>
  <si>
    <t>2202</t>
  </si>
  <si>
    <t>2203</t>
  </si>
  <si>
    <t>2204</t>
  </si>
  <si>
    <t>El tipo de documento modificado por la Nota de Debito debe ser factura electronica, ticket o documento autorizado</t>
  </si>
  <si>
    <t>2205</t>
  </si>
  <si>
    <t>La serie o numero del documento modificado por la Nota de Debito no cumple con el formato establecido</t>
  </si>
  <si>
    <t>2206</t>
  </si>
  <si>
    <t>Debe indicar los documentos afectados por la Nota de Debito</t>
  </si>
  <si>
    <t>2207</t>
  </si>
  <si>
    <t>El documento modificado en la Nota de debito se encuentra de baja</t>
  </si>
  <si>
    <t>2208</t>
  </si>
  <si>
    <t>El documento modificado en la Nota de debito esta registrada como rechazada</t>
  </si>
  <si>
    <t>2209</t>
  </si>
  <si>
    <t>El documento modificado en la Nota de debito no esta registrada</t>
  </si>
  <si>
    <t>2210</t>
  </si>
  <si>
    <t>El dato ingresado no cumple con el formato RC-fecha-correlativo</t>
  </si>
  <si>
    <t>2211</t>
  </si>
  <si>
    <t>El XML no contiene el tag ID</t>
  </si>
  <si>
    <t>2212</t>
  </si>
  <si>
    <t>UBLVersionID - La versión del UBL del resumen de boletas no es correcta</t>
  </si>
  <si>
    <t>2213</t>
  </si>
  <si>
    <t>El XML no contiene el tag UBLVersionID</t>
  </si>
  <si>
    <t>2214</t>
  </si>
  <si>
    <t>CustomizationID - La versión del resumen de boletas no es correcta</t>
  </si>
  <si>
    <t>2215</t>
  </si>
  <si>
    <t>El XML no contiene el tag CustomizationID</t>
  </si>
  <si>
    <t>2216</t>
  </si>
  <si>
    <t>2217</t>
  </si>
  <si>
    <t>El XML no contiene el tag CustomerAssignedAccountID del emisor del documento</t>
  </si>
  <si>
    <t>2218</t>
  </si>
  <si>
    <t>2219</t>
  </si>
  <si>
    <t>2220</t>
  </si>
  <si>
    <t>El ID debe coincidir con el nombre del archivo</t>
  </si>
  <si>
    <t>2221</t>
  </si>
  <si>
    <t>El RUC debe coincidir con el RUC del nombre del archivo</t>
  </si>
  <si>
    <t>2222</t>
  </si>
  <si>
    <t>El contribuyente no está autorizado a emitir comprobantes electronicos</t>
  </si>
  <si>
    <t>2223</t>
  </si>
  <si>
    <t>El archivo ya fue presentado anteriormente</t>
  </si>
  <si>
    <t>2224</t>
  </si>
  <si>
    <t>2225</t>
  </si>
  <si>
    <t>2226</t>
  </si>
  <si>
    <t>2227</t>
  </si>
  <si>
    <t>2228</t>
  </si>
  <si>
    <t>2229</t>
  </si>
  <si>
    <t>2230</t>
  </si>
  <si>
    <t>2231</t>
  </si>
  <si>
    <t>2232</t>
  </si>
  <si>
    <t>2233</t>
  </si>
  <si>
    <t>ReferenceDate - El dato ingresado no cumple con el patron YYYY-MM-DD</t>
  </si>
  <si>
    <t>2234</t>
  </si>
  <si>
    <t>El XML no contiene el tag ReferenceDate</t>
  </si>
  <si>
    <t>2235</t>
  </si>
  <si>
    <t>ReferenceDate- El dato ingresado no es valido</t>
  </si>
  <si>
    <t>2236</t>
  </si>
  <si>
    <t>La fecha del IssueDate no debe ser mayor a la fecha de recepción</t>
  </si>
  <si>
    <t>2237</t>
  </si>
  <si>
    <t>La fecha del ReferenceDate no debe ser mayor al Today</t>
  </si>
  <si>
    <t>2238</t>
  </si>
  <si>
    <t>LineID - El dato ingresado no cumple con el estandar</t>
  </si>
  <si>
    <t>2239</t>
  </si>
  <si>
    <t>LineID - El dato ingresado debe ser correlativo mayor a cero</t>
  </si>
  <si>
    <t>2240</t>
  </si>
  <si>
    <t>El XML no contiene el tag LineID de SummaryDocumentsLine</t>
  </si>
  <si>
    <t>2241</t>
  </si>
  <si>
    <t>DocumentTypeCode - El valor del tipo de documento es invalido</t>
  </si>
  <si>
    <t>2242</t>
  </si>
  <si>
    <t>El XML no contiene el tag DocumentTypeCode</t>
  </si>
  <si>
    <t>2243</t>
  </si>
  <si>
    <t>El dato ingresado  no cumple con el patron SERIE</t>
  </si>
  <si>
    <t>2244</t>
  </si>
  <si>
    <t>El XML no contiene el tag DocumentSerialID</t>
  </si>
  <si>
    <t>2245</t>
  </si>
  <si>
    <t>El dato ingresado en StartDocumentNumberID debe ser numerico</t>
  </si>
  <si>
    <t>2246</t>
  </si>
  <si>
    <t>El XML no contiene el tag StartDocumentNumberID</t>
  </si>
  <si>
    <t>2247</t>
  </si>
  <si>
    <t>El dato ingresado en sac:EndDocumentNumberID debe ser numerico</t>
  </si>
  <si>
    <t>2248</t>
  </si>
  <si>
    <t>El XML no contiene el tag sac:EndDocumentNumberID</t>
  </si>
  <si>
    <t>2249</t>
  </si>
  <si>
    <t>Los rangos deben ser mayores a cero</t>
  </si>
  <si>
    <t>2250</t>
  </si>
  <si>
    <t>En el rango de comprobantes, el EndDocumentNumberID debe ser mayor o igual al StartInvoiceNumberID</t>
  </si>
  <si>
    <t>2251</t>
  </si>
  <si>
    <t>El dato ingresado en TotalAmount debe ser numerico mayor o igual a cero</t>
  </si>
  <si>
    <t>2252</t>
  </si>
  <si>
    <t>El XML no contiene el tag TotalAmount</t>
  </si>
  <si>
    <t>2253</t>
  </si>
  <si>
    <t>El dato ingresado en TotalAmount debe ser numerico mayor a cero</t>
  </si>
  <si>
    <t>2254</t>
  </si>
  <si>
    <t>PaidAmount - El dato ingresado no cumple con el estandar</t>
  </si>
  <si>
    <t>2255</t>
  </si>
  <si>
    <t>El XML no contiene el tag PaidAmount</t>
  </si>
  <si>
    <t>2256</t>
  </si>
  <si>
    <t>InstructionID - El dato ingresado no cumple con el estandar</t>
  </si>
  <si>
    <t>2257</t>
  </si>
  <si>
    <t>El XML no contiene el tag InstructionID</t>
  </si>
  <si>
    <t>2258</t>
  </si>
  <si>
    <t>Debe indicar Referencia de Importes asociados a las boletas de venta</t>
  </si>
  <si>
    <t>2259</t>
  </si>
  <si>
    <t>Debe indicar 3 Referencias de Importes asociados a las boletas de venta</t>
  </si>
  <si>
    <t>2260</t>
  </si>
  <si>
    <t>PaidAmount - El dato ingresado debe ser mayor o igual a 0.00</t>
  </si>
  <si>
    <t>2261</t>
  </si>
  <si>
    <t>cbc:Amount - El dato ingresado no cumple con el estandar</t>
  </si>
  <si>
    <t>2262</t>
  </si>
  <si>
    <t>El XML no contiene el tag cbc:Amount</t>
  </si>
  <si>
    <t>2263</t>
  </si>
  <si>
    <t>ChargeIndicator - El dato ingresado no cumple con el estandar</t>
  </si>
  <si>
    <t>2264</t>
  </si>
  <si>
    <t>El XML no contiene el tag ChargeIndicator</t>
  </si>
  <si>
    <t>2265</t>
  </si>
  <si>
    <t>Debe indicar Información acerca del Importe Total de Otros Cargos</t>
  </si>
  <si>
    <t>2266</t>
  </si>
  <si>
    <t>Debe indicar cargos mayores o iguales a cero</t>
  </si>
  <si>
    <t>2267</t>
  </si>
  <si>
    <t>2268</t>
  </si>
  <si>
    <t>2269</t>
  </si>
  <si>
    <t>El XML no contiene el tag TaxScheme ID de Información acerca del importe total de un tipo particular de impuesto</t>
  </si>
  <si>
    <t>2270</t>
  </si>
  <si>
    <t>2271</t>
  </si>
  <si>
    <t>El XML no contiene el tag TaxScheme Name de impuesto</t>
  </si>
  <si>
    <t>2272</t>
  </si>
  <si>
    <t>2273</t>
  </si>
  <si>
    <t>TaxAmount - El dato ingresado no cumple con el estandar</t>
  </si>
  <si>
    <t>2274</t>
  </si>
  <si>
    <t>El XML no contiene el tag TaxAmount</t>
  </si>
  <si>
    <t>2275</t>
  </si>
  <si>
    <t>Si el codigo de tributo es 2000, el nombre del tributo debe ser ISC</t>
  </si>
  <si>
    <t>2276</t>
  </si>
  <si>
    <t>Si el codigo de tributo es 1000, el nombre del tributo debe ser IGV</t>
  </si>
  <si>
    <t>2277</t>
  </si>
  <si>
    <t>No se ha consignado ninguna informacion del importe total de tributos</t>
  </si>
  <si>
    <t>2278</t>
  </si>
  <si>
    <t>Debe indicar Información acerca del importe total de IGV/IVAP</t>
  </si>
  <si>
    <t>2279</t>
  </si>
  <si>
    <t>Debe indicar Items de consolidado de documentos</t>
  </si>
  <si>
    <t>2280</t>
  </si>
  <si>
    <t>Existen problemas con la informacion del resumen de comprobantes</t>
  </si>
  <si>
    <t>2281</t>
  </si>
  <si>
    <t>Error en la validacion de los rangos de los comprobantes</t>
  </si>
  <si>
    <t>2282</t>
  </si>
  <si>
    <t>Existe documento ya informado anteriormente</t>
  </si>
  <si>
    <t>2283</t>
  </si>
  <si>
    <t>El dato ingresado no cumple con el formato RA-fecha-correlativo</t>
  </si>
  <si>
    <t>2284</t>
  </si>
  <si>
    <t>El tag ID esta vacío</t>
  </si>
  <si>
    <t>2285</t>
  </si>
  <si>
    <t>El ID debe coincidir  con el nombre del archivo</t>
  </si>
  <si>
    <t>2286</t>
  </si>
  <si>
    <t>2287</t>
  </si>
  <si>
    <t>2288</t>
  </si>
  <si>
    <t>2289</t>
  </si>
  <si>
    <t>2290</t>
  </si>
  <si>
    <t>2291</t>
  </si>
  <si>
    <t>El contribuyente no esta autorizado a emitir comprobantes electronicos</t>
  </si>
  <si>
    <t>2292</t>
  </si>
  <si>
    <t>2293</t>
  </si>
  <si>
    <t>2294</t>
  </si>
  <si>
    <t>2295</t>
  </si>
  <si>
    <t>2296</t>
  </si>
  <si>
    <t>2297</t>
  </si>
  <si>
    <t>2298</t>
  </si>
  <si>
    <t>2299</t>
  </si>
  <si>
    <t>2300</t>
  </si>
  <si>
    <t>IssueDate - El dato ingresado no es valido</t>
  </si>
  <si>
    <t>2301</t>
  </si>
  <si>
    <t>2302</t>
  </si>
  <si>
    <t>2303</t>
  </si>
  <si>
    <t>2304</t>
  </si>
  <si>
    <t>ReferenceDate - El dato ingresado no es valido</t>
  </si>
  <si>
    <t>2305</t>
  </si>
  <si>
    <t>2306</t>
  </si>
  <si>
    <t>2307</t>
  </si>
  <si>
    <t>El tag LineID de VoidedDocumentsLine esta vacío</t>
  </si>
  <si>
    <t>2308</t>
  </si>
  <si>
    <t>2309</t>
  </si>
  <si>
    <t>El tag DocumentTypeCode es vacío</t>
  </si>
  <si>
    <t>2310</t>
  </si>
  <si>
    <t>2311</t>
  </si>
  <si>
    <t>El tag DocumentSerialID es vacío</t>
  </si>
  <si>
    <t>2312</t>
  </si>
  <si>
    <t>El dato ingresado en DocumentNumberID debe ser numerico y como maximo de 8 digitos</t>
  </si>
  <si>
    <t>2313</t>
  </si>
  <si>
    <t>El tag DocumentNumberID esta vacío</t>
  </si>
  <si>
    <t>2314</t>
  </si>
  <si>
    <t>El dato ingresado en VoidReasonDescription debe contener información válida</t>
  </si>
  <si>
    <t>2315</t>
  </si>
  <si>
    <t>El tag VoidReasonDescription esta vacío</t>
  </si>
  <si>
    <t>2316</t>
  </si>
  <si>
    <t>Debe indicar Items en VoidedDocumentsLine</t>
  </si>
  <si>
    <t>2317</t>
  </si>
  <si>
    <t>Error al procesar el resumen de anulados</t>
  </si>
  <si>
    <t>2318</t>
  </si>
  <si>
    <t>2319</t>
  </si>
  <si>
    <t>2320</t>
  </si>
  <si>
    <t>UBLVersionID - La version del UBL  no es la correcta</t>
  </si>
  <si>
    <t>2321</t>
  </si>
  <si>
    <t>2322</t>
  </si>
  <si>
    <t>Error en la validacion de los rangos</t>
  </si>
  <si>
    <t>2323</t>
  </si>
  <si>
    <t>Existe documento ya informado anteriormente en una comunicacion de baja</t>
  </si>
  <si>
    <t>2324</t>
  </si>
  <si>
    <t>El archivo de comunicacion de baja ya fue presentado anteriormente</t>
  </si>
  <si>
    <t>2325</t>
  </si>
  <si>
    <t>El certificado usado no es el comunicado a SUNAT</t>
  </si>
  <si>
    <t>2326</t>
  </si>
  <si>
    <t>El certificado usado se encuentra de baja</t>
  </si>
  <si>
    <t>2327</t>
  </si>
  <si>
    <t>El certificado usado no se encuentra vigente</t>
  </si>
  <si>
    <t>2328</t>
  </si>
  <si>
    <t>El certificado usado se encuentra revocado</t>
  </si>
  <si>
    <t>La fecha de emision se encuentra fuera del limite permitido</t>
  </si>
  <si>
    <t>2330</t>
  </si>
  <si>
    <t>La fecha de generación de la comunicación debe ser igual a la fecha consignada en el nombre del archivo</t>
  </si>
  <si>
    <t>2331</t>
  </si>
  <si>
    <t>2332</t>
  </si>
  <si>
    <t>Número de Serie del nombre del archivo no coincide con el consignado en el contenido del archivo XML</t>
  </si>
  <si>
    <t>2333</t>
  </si>
  <si>
    <t>2334</t>
  </si>
  <si>
    <t>El documento electrónico ingresado ha sido alterado</t>
  </si>
  <si>
    <t>2335</t>
  </si>
  <si>
    <t>Ocurrió un error en el proceso de validación de la firma digital</t>
  </si>
  <si>
    <t>2337</t>
  </si>
  <si>
    <t>La moneda debe ser la misma en todo el documento</t>
  </si>
  <si>
    <t>2338</t>
  </si>
  <si>
    <t>2339</t>
  </si>
  <si>
    <t>2340</t>
  </si>
  <si>
    <t>2341</t>
  </si>
  <si>
    <t>2342</t>
  </si>
  <si>
    <t>Fecha de emision de la factura no coincide con la informada en la comunicacion</t>
  </si>
  <si>
    <t>2343</t>
  </si>
  <si>
    <t>cac:TaxTotal/cac:TaxSubtotal/cbc:TaxAmount - El dato ingresado no cumple con el estandar</t>
  </si>
  <si>
    <t>2344</t>
  </si>
  <si>
    <t>El XML no contiene el tag cac:TaxTotal/cac:TaxSubtotal/cbc:TaxAmount</t>
  </si>
  <si>
    <t>2345</t>
  </si>
  <si>
    <t>La serie no corresponde al tipo de comprobante</t>
  </si>
  <si>
    <t>2346</t>
  </si>
  <si>
    <t>La fecha de generación del resumen debe ser igual a la fecha consignada en el nombre del archivo</t>
  </si>
  <si>
    <t>2347</t>
  </si>
  <si>
    <t>Los rangos informados en el archivo XML se encuentran duplicados o superpuestos</t>
  </si>
  <si>
    <t>2348</t>
  </si>
  <si>
    <t>Los documentos informados en el archivo XML se encuentran duplicados</t>
  </si>
  <si>
    <t>2349</t>
  </si>
  <si>
    <t>Debe consignar solo un elemento sac:AdditionalMonetaryTotal con cbc:ID igual a 1001</t>
  </si>
  <si>
    <t>2350</t>
  </si>
  <si>
    <t>Debe consignar solo un elemento sac:AdditionalMonetaryTotal con cbc:ID igual a 1002</t>
  </si>
  <si>
    <t>2351</t>
  </si>
  <si>
    <t>Debe consignar solo un elemento sac:AdditionalMonetaryTotal con cbc:ID igual a 1003</t>
  </si>
  <si>
    <t>2352</t>
  </si>
  <si>
    <t>Debe consignar solo un elemento cac:TaxTotal a nivel global para IGV (cbc:ID igual a 1000)</t>
  </si>
  <si>
    <t>2353</t>
  </si>
  <si>
    <t>Debe consignar solo un elemento cac:TaxTotal a nivel global para ISC (cbc:ID igual a 2000)</t>
  </si>
  <si>
    <t>2354</t>
  </si>
  <si>
    <t>Debe consignar solo un elemento cac:TaxTotal a nivel global para Otros (cbc:ID igual a 9999)</t>
  </si>
  <si>
    <t>2355</t>
  </si>
  <si>
    <t>Debe consignar solo un elemento cac:TaxTotal a nivel de item por codigo de tributo</t>
  </si>
  <si>
    <t>2356</t>
  </si>
  <si>
    <t>Debe consignar solo un elemento cac:TaxTotal a nivel de item para ISC (cbc:ID igual a 2000)</t>
  </si>
  <si>
    <t>2357</t>
  </si>
  <si>
    <t>No debe existir un elemento sac:BillingPayment a nivel de item con el mismo valor de cbc:InstructionID</t>
  </si>
  <si>
    <t>2358</t>
  </si>
  <si>
    <t>Debe consignar solo un elemento sac:BillingPayment a nivel de item con cbc:InstructionID igual a 02</t>
  </si>
  <si>
    <t>2359</t>
  </si>
  <si>
    <t>Debe consignar solo un elemento sac:BillingPayment a nivel de item con cbc:InstructionID igual a 03</t>
  </si>
  <si>
    <t>2360</t>
  </si>
  <si>
    <t>Debe consignar solo un elemento sac:BillingPayment a nivel de item con cbc:InstructionID igual a 04</t>
  </si>
  <si>
    <t>2361</t>
  </si>
  <si>
    <t>Debe consignar solo un elemento cac:TaxTotal a nivel de item para Otros (cbc:ID igual a 9999)</t>
  </si>
  <si>
    <t>2362</t>
  </si>
  <si>
    <t>Debe consignar solo un tag cac:AccountingSupplierParty/cbc:AdditionalAccountID</t>
  </si>
  <si>
    <t>2363</t>
  </si>
  <si>
    <t>Debe consignar solo un tag cac:AccountingCustomerParty/cbc:AdditionalAccountID</t>
  </si>
  <si>
    <t>2364</t>
  </si>
  <si>
    <t>El comprobante contiene un tipo y número de Guía de Remisión repetido</t>
  </si>
  <si>
    <t>2365</t>
  </si>
  <si>
    <t>El comprobante contiene un tipo y número de Documento Relacionado repetido</t>
  </si>
  <si>
    <t>2366</t>
  </si>
  <si>
    <t>El codigo en el tag sac:AdditionalProperty/cbc:ID debe tener 4 posiciones</t>
  </si>
  <si>
    <t>2367</t>
  </si>
  <si>
    <t>El dato ingresado en PriceAmount del Precio de venta unitario por item no cumple con el formato establecido</t>
  </si>
  <si>
    <t>2368</t>
  </si>
  <si>
    <t>El dato ingresado en TaxSubtotal/cbc:TaxAmount del item no cumple con el formato establecido</t>
  </si>
  <si>
    <t>2369</t>
  </si>
  <si>
    <t>El dato ingresado en PriceAmount del Valor de venta unitario por item no cumple con el formato establecido</t>
  </si>
  <si>
    <t>2370</t>
  </si>
  <si>
    <t>El dato ingresado en LineExtensionAmount del item no cumple con el formato establecido</t>
  </si>
  <si>
    <t>2371</t>
  </si>
  <si>
    <t>El XML no contiene el tag cbc:TaxExemptionReasonCode de Afectacion al IGV</t>
  </si>
  <si>
    <t>2372</t>
  </si>
  <si>
    <t>El tag en el item cac:TaxTotal/cbc:TaxAmount debe tener el mismo valor que cac:TaxTotal/cac:TaxSubtotal/cbc:TaxAmount</t>
  </si>
  <si>
    <t>2373</t>
  </si>
  <si>
    <t>Si existe monto de ISC en el ITEM debe especificar el sistema de calculo</t>
  </si>
  <si>
    <t>2374</t>
  </si>
  <si>
    <t>La factura a dar de baja tiene una fecha de recepcion fuera del plazo permitido</t>
  </si>
  <si>
    <t>2375</t>
  </si>
  <si>
    <t>Fecha de emision del comprobante no coincide con la fecha de emision consignada en la comunicación</t>
  </si>
  <si>
    <t>2376</t>
  </si>
  <si>
    <t>La boleta de venta a dar de baja fue informada en un resumen con fecha de recepcion fuera del plazo permitido</t>
  </si>
  <si>
    <t>2377</t>
  </si>
  <si>
    <t>El Name o TaxTypeCode debe corresponder al codigo de tributo del item</t>
  </si>
  <si>
    <t>2378</t>
  </si>
  <si>
    <t>2379</t>
  </si>
  <si>
    <t>La numeracion de boleta de venta a dar de baja fue generada en una fecha fuera del plazo permitido</t>
  </si>
  <si>
    <t>2380</t>
  </si>
  <si>
    <t>El documento tiene observaciones</t>
  </si>
  <si>
    <t>2381</t>
  </si>
  <si>
    <t>Comprobante no cumple con el Grupo 1: No todos los items corresponden a operaciones gravadas a IGV</t>
  </si>
  <si>
    <t>2382</t>
  </si>
  <si>
    <t>Comprobante no cumple con el Grupo 2: No todos los items corresponden a operaciones inafectas o exoneradas al IGV</t>
  </si>
  <si>
    <t>2383</t>
  </si>
  <si>
    <t>Comprobante no cumple con el Grupo 3: Falta leyenda con codigo 1002</t>
  </si>
  <si>
    <t>2384</t>
  </si>
  <si>
    <t>Comprobante no cumple con el Grupo 3: Existe item con operación onerosa</t>
  </si>
  <si>
    <t>2385</t>
  </si>
  <si>
    <t>Comprobante no cumple con el Grupo 4: Debe exitir Total descuentos mayor a cero</t>
  </si>
  <si>
    <t>2386</t>
  </si>
  <si>
    <t>Comprobante no cumple con el Grupo 5: Todos los items deben tener operaciones afectas a ISC</t>
  </si>
  <si>
    <t>2387</t>
  </si>
  <si>
    <t>Comprobante no cumple con el Grupo 6: El monto de percepcion no existe o es cero</t>
  </si>
  <si>
    <t>2388</t>
  </si>
  <si>
    <t>Comprobante no cumple con el Grupo 6: Todos los items deben tener código de Afectación al IGV igual a 10</t>
  </si>
  <si>
    <t>2389</t>
  </si>
  <si>
    <t>Comprobante no cumple con el Grupo 7: El codigo de moneda no es diferente a PEN</t>
  </si>
  <si>
    <t>2390</t>
  </si>
  <si>
    <t>Comprobante no cumple con el Grupo 8: No todos los items corresponden a operaciones gravadas a IGV</t>
  </si>
  <si>
    <t>2391</t>
  </si>
  <si>
    <t>Comprobante no cumple con el Grupo 9: No todos los items corresponden a operaciones inafectas o exoneradas al IGV</t>
  </si>
  <si>
    <t>2392</t>
  </si>
  <si>
    <t>Comprobante no cumple con el Grupo 10: Falta leyenda con codigo 1002</t>
  </si>
  <si>
    <t>2393</t>
  </si>
  <si>
    <t>Comprobante no cumple con el Grupo 10: Existe item con operación onerosa</t>
  </si>
  <si>
    <t>2394</t>
  </si>
  <si>
    <t>Comprobante no cumple con el Grupo 11: Debe existir Total descuentos mayor a cero</t>
  </si>
  <si>
    <t>2395</t>
  </si>
  <si>
    <t>Comprobante no cumple con el Grupo 12: El codigo de moneda no es diferente a PEN</t>
  </si>
  <si>
    <t>2396</t>
  </si>
  <si>
    <t>Si el monto total es mayor a S/. 700.00 debe consignar tipo y numero de documento del adquiriente</t>
  </si>
  <si>
    <t>2397</t>
  </si>
  <si>
    <t>El tipo de documento del adquiriente no puede ser Numero de RUC</t>
  </si>
  <si>
    <t>2398</t>
  </si>
  <si>
    <t>El documento a dar de baja se encuentra rechazado</t>
  </si>
  <si>
    <t>2399</t>
  </si>
  <si>
    <t>El tipo de documento modificado por la Nota de credito debe ser boleta electronica</t>
  </si>
  <si>
    <t>2400</t>
  </si>
  <si>
    <t>El tipo de documento modificado por la Nota de debito debe ser boleta electronica</t>
  </si>
  <si>
    <t>2401</t>
  </si>
  <si>
    <t>2402</t>
  </si>
  <si>
    <t>2403</t>
  </si>
  <si>
    <t>2404</t>
  </si>
  <si>
    <t>Documento afectado por la nota electronica no se encuentra autorizado</t>
  </si>
  <si>
    <t>2405</t>
  </si>
  <si>
    <t>Contribuyente no se encuentra autorizado como emisor de boletas electronicas</t>
  </si>
  <si>
    <t>2406</t>
  </si>
  <si>
    <t>Existe mas de un tag sac:AdditionalMonetaryTotal con el mismo ID</t>
  </si>
  <si>
    <t>2407</t>
  </si>
  <si>
    <t>Existe mas de un tag sac:AdditionalProperty con el mismo ID</t>
  </si>
  <si>
    <t>2408</t>
  </si>
  <si>
    <t>El dato ingresado en PriceAmount del Valor referencial unitario por item no cumple con el formato establecido</t>
  </si>
  <si>
    <t>2409</t>
  </si>
  <si>
    <t>Existe mas de un tag cac:AlternativeConditionPrice con el mismo cbc:PriceTypeCode</t>
  </si>
  <si>
    <t>2410</t>
  </si>
  <si>
    <t>Se ha consignado un valor invalido en el campo cbc:PriceTypeCode</t>
  </si>
  <si>
    <t>2411</t>
  </si>
  <si>
    <t>Ha consignado mas de un elemento cac:AllowanceCharge con el mismo campo cbc:ChargeIndicator</t>
  </si>
  <si>
    <t>2412</t>
  </si>
  <si>
    <t>Se ha consignado mas de un documento afectado por la nota (tag cac:BillingReference)</t>
  </si>
  <si>
    <t>2413</t>
  </si>
  <si>
    <t>Se ha consignado mas de un motivo o sustento de la nota (tag cac:DiscrepancyResponse/cbc:Description)</t>
  </si>
  <si>
    <t>2414</t>
  </si>
  <si>
    <t>No se ha consignado en la nota el tag cac:DiscrepancyResponse</t>
  </si>
  <si>
    <t>2415</t>
  </si>
  <si>
    <t>Se ha consignado en la nota mas de un tag cac:DiscrepancyResponse</t>
  </si>
  <si>
    <t>2416</t>
  </si>
  <si>
    <t>Si existe leyenda Transferencia Gratuita debe consignar Total Valor de Venta de Operaciones Gratuitas</t>
  </si>
  <si>
    <t>2417</t>
  </si>
  <si>
    <t>Debe consignar Valor Referencial unitario por item en operaciones no onerosas</t>
  </si>
  <si>
    <t>2418</t>
  </si>
  <si>
    <t>Si consigna Valor Referencial unitario por item en operaciones no onerosas,la operacion debe ser no onerosa.</t>
  </si>
  <si>
    <t>2419</t>
  </si>
  <si>
    <t>El dato ingresado en AllowanceTotalAmount no cumple con el formato establecido</t>
  </si>
  <si>
    <t>2420</t>
  </si>
  <si>
    <t>Ya transcurrieron mas de 25 dias calendarios para concluir con su proceso de homologacion</t>
  </si>
  <si>
    <t>2421</t>
  </si>
  <si>
    <t>Debe indicar  toda la informacion de  sustento de translado de bienes.</t>
  </si>
  <si>
    <t>2422</t>
  </si>
  <si>
    <t>El valor unitario debe ser menor al precio unitario.</t>
  </si>
  <si>
    <t>2423</t>
  </si>
  <si>
    <t>Si ha consignado monto ISC a nivel de item, debe consignar un monto a nivel de total.</t>
  </si>
  <si>
    <t>2424</t>
  </si>
  <si>
    <t>RC Debe consignar solo un elemento sac:BillingPayment a nivel de item con cbc:InstructionID igual a 05.</t>
  </si>
  <si>
    <t>2425</t>
  </si>
  <si>
    <t>Si la  operacion es gratuita PriceTypeCode =02 y cbc:PriceAmount&gt; 0 el codigo de afectacion de igv debe ser  no onerosa es  decir diferente de 10,20,30.</t>
  </si>
  <si>
    <t>2426</t>
  </si>
  <si>
    <t>Documentos relacionados duplicados en el comprobante.</t>
  </si>
  <si>
    <t>2427</t>
  </si>
  <si>
    <t>Solo debe de existir un tag AdditionalInformation.</t>
  </si>
  <si>
    <t>2428</t>
  </si>
  <si>
    <t>Comprobante no cumple con grupo de facturas con detracciones.</t>
  </si>
  <si>
    <t>2429</t>
  </si>
  <si>
    <t>Comprobante no cumple con grupo de facturas con comercio exterior.</t>
  </si>
  <si>
    <t>2430</t>
  </si>
  <si>
    <t>Comprobante no cumple con grupo de facturas con tag de factura guia.</t>
  </si>
  <si>
    <t>2431</t>
  </si>
  <si>
    <t>Comprobante no cumple con grupo de facturas con tags no tributarios.</t>
  </si>
  <si>
    <t>2432</t>
  </si>
  <si>
    <t>Comprobante no cumple con grupo de boletas con tags no tributarios.</t>
  </si>
  <si>
    <t>2433</t>
  </si>
  <si>
    <t>Comprobante no cumple con grupo de facturas con tag venta itinerante.</t>
  </si>
  <si>
    <t>2434</t>
  </si>
  <si>
    <t>Comprobante no cumple con grupo de boletas con tag venta itinerante.</t>
  </si>
  <si>
    <t>2435</t>
  </si>
  <si>
    <t>Comprobante no cumple con grupo de boletas con ISC.</t>
  </si>
  <si>
    <t>2436</t>
  </si>
  <si>
    <t>Comprobante no cumple con el grupo de boletas de venta con percepcion: El monto de percepcion no existe o es cero.</t>
  </si>
  <si>
    <t>2437</t>
  </si>
  <si>
    <t>Comprobante no cumple con el grupo de boletas de venta con percepcion: Todos los items deben tener código de Afectación al IGV igual a 10.</t>
  </si>
  <si>
    <t>2438</t>
  </si>
  <si>
    <t>Comprobante no cumple con grupo de facturas con tag venta anticipada I.</t>
  </si>
  <si>
    <t>2439</t>
  </si>
  <si>
    <t>Comprobante no cumple con grupo de facturas con tag venta anticipada II.</t>
  </si>
  <si>
    <t>Número de DNI no existe</t>
  </si>
  <si>
    <t>2451</t>
  </si>
  <si>
    <t>Vendedor supera el monto permitido para la emision de una liquidacion de compra</t>
  </si>
  <si>
    <t>2452</t>
  </si>
  <si>
    <t>El XML no contiene el tag o no existe informacion de la dirección completa y detallada en domicilio del vendedor</t>
  </si>
  <si>
    <t>2453</t>
  </si>
  <si>
    <t>El XML no contiene el tag o no existe información del ubigeo del domicilio del vendedor</t>
  </si>
  <si>
    <t>2454</t>
  </si>
  <si>
    <t>El XML no contiene el tag o no existe informacion de la dirección completa y detallada del lugar donde se realiza la operación</t>
  </si>
  <si>
    <t>2455</t>
  </si>
  <si>
    <t>El XML no contiene el tag o no existe información del ubigeo del lugar donde se realiza la operación</t>
  </si>
  <si>
    <t>2456</t>
  </si>
  <si>
    <t>Debe consignar el tipo de domicilio del vendedor</t>
  </si>
  <si>
    <t>2457</t>
  </si>
  <si>
    <t>El dato ingresado en el tipo de domicilio del vendedor no corresponde al valor esperado</t>
  </si>
  <si>
    <t>2458</t>
  </si>
  <si>
    <t>Debe consignar el tipo de ubicación del lugar donde se realiza la operación</t>
  </si>
  <si>
    <t>2459</t>
  </si>
  <si>
    <t>El dato ingresado en el tipo de ubicación del lugar donde se realiza la operación no corresponde al valor esperado</t>
  </si>
  <si>
    <t>2460</t>
  </si>
  <si>
    <t>Número de DNI corresponde a una persona fallecida a la fecha de emision</t>
  </si>
  <si>
    <t>2461</t>
  </si>
  <si>
    <t>Número de DNI corresponde a una persona menor de edad</t>
  </si>
  <si>
    <t>2462</t>
  </si>
  <si>
    <t>Número de DNI tiene un Numero de RUC asignado activo</t>
  </si>
  <si>
    <t>2463</t>
  </si>
  <si>
    <t>Emisor no se encuentra afecto a Renta de tercera categoría</t>
  </si>
  <si>
    <t>2464</t>
  </si>
  <si>
    <t>El producto de la tasa por el monto base de la afectación de la retención de renta no corresponde al monto de afectacion de linea</t>
  </si>
  <si>
    <t>2465</t>
  </si>
  <si>
    <t>Tipo de comprobante que realizo el anticipo debe ser 10-Liquidacion de compra</t>
  </si>
  <si>
    <t>2466</t>
  </si>
  <si>
    <t>El XML no contiene el tag de Comercializacion del oro: Codigo unico de concesion minera</t>
  </si>
  <si>
    <t>2467</t>
  </si>
  <si>
    <t>El XML no contiene el tag de Comercializacion del oro: Ley mineral</t>
  </si>
  <si>
    <t>2468</t>
  </si>
  <si>
    <t>El XML no contiene el tag de Comercializacion del oro: Naturaleza del mineral</t>
  </si>
  <si>
    <t>2469</t>
  </si>
  <si>
    <t>El XML no contiene el tag de Comercializacion del oro: Nombre del derecho minero</t>
  </si>
  <si>
    <t>2470</t>
  </si>
  <si>
    <t>El monto base de la retencion de renta global no cumple con el formato establecido</t>
  </si>
  <si>
    <t>2471</t>
  </si>
  <si>
    <t>La liquidacion de compra a dar de baja no debe tener pagos registrados</t>
  </si>
  <si>
    <t>2472</t>
  </si>
  <si>
    <t>El documento no contiene la fecha de inicio del periodo de abono</t>
  </si>
  <si>
    <t>2473</t>
  </si>
  <si>
    <t>El documento no contiene la fecha de fin del periodo de abono</t>
  </si>
  <si>
    <t>2474</t>
  </si>
  <si>
    <t>El documento no contiene el 'Tipo de canal facturado'</t>
  </si>
  <si>
    <t>2475</t>
  </si>
  <si>
    <t>El dato ingresado como 'Tipo de canal facturado' es incorrecto</t>
  </si>
  <si>
    <t>2476</t>
  </si>
  <si>
    <t>Debe registrarse el 'Indicador de tipo de comisión'</t>
  </si>
  <si>
    <t>2477</t>
  </si>
  <si>
    <t>El dato ingresado en el 'Indicador de tipo de comisión' no corresponde al valor esperado</t>
  </si>
  <si>
    <t>2478</t>
  </si>
  <si>
    <t>Para Bancos emisores debe ingresar el 'Indicador de institución financiera'</t>
  </si>
  <si>
    <t>2479</t>
  </si>
  <si>
    <t>El dato ingresado en el 'Indicador de institución financiera' no corresponde al valor esperado</t>
  </si>
  <si>
    <t>2480</t>
  </si>
  <si>
    <t xml:space="preserve">Debe consignar el tag /cac:InvoiceLine/cac:ItemPriceExtension  </t>
  </si>
  <si>
    <t>2481</t>
  </si>
  <si>
    <t>El dato ingresado en el tag /cac:InvoiceLine/cac:ItemPriceExtension/cbc:Amount no cumple con el formato establecido</t>
  </si>
  <si>
    <t>2482</t>
  </si>
  <si>
    <t>Debe consignar el tag /cac:SubInvoiceLine/cac:ItemPriceExtension</t>
  </si>
  <si>
    <t>2483</t>
  </si>
  <si>
    <t>El dato ingresado en el tag cac:InvoiceLine/cac:SubInvoiceLine/cac:ItemPriceExtension/cbc:Amount no cumple con el formato establecido</t>
  </si>
  <si>
    <t>2484</t>
  </si>
  <si>
    <t>Para Bancos emisores locales debe ingresar el Numero de RUC</t>
  </si>
  <si>
    <t>Tipo de documento de identidad debe ser RUC</t>
  </si>
  <si>
    <t>2486</t>
  </si>
  <si>
    <t>El dato ingresado en el tag /cac:SubInvoiceLine/cbc:LineExtensionAmount no cumple con el formato establecido</t>
  </si>
  <si>
    <t>2487</t>
  </si>
  <si>
    <t>El XML no contiene el tag cac:LegalMonetaryTotal/cbc:LineExtensionAmount</t>
  </si>
  <si>
    <t>2488</t>
  </si>
  <si>
    <t>El dato ingresado en el tag cac:LegalMonetaryTotal/cbc:LineExtensionAmount no cumple con el formato establecido</t>
  </si>
  <si>
    <t>2489</t>
  </si>
  <si>
    <t>El dato ingresado en el 'Tipo de documento de identidad' no cumple el formato establecido</t>
  </si>
  <si>
    <t>2490</t>
  </si>
  <si>
    <t>Existe más de un Tag UBL cac:OriginatorParty/cac:PartyIdentification</t>
  </si>
  <si>
    <t>2491</t>
  </si>
  <si>
    <t>Debe consignar el Tag UBL cac:OriginatorParty/cac:PartyIdentification/cbc:ID</t>
  </si>
  <si>
    <t>2492</t>
  </si>
  <si>
    <t>El dato ingresado en el tag cac:SubInvoiceLine/cbc:ID no cumple con el formato establecido</t>
  </si>
  <si>
    <t>2493</t>
  </si>
  <si>
    <t>El dato ingresado en el tag /cac:SubInvoiceLine/cbc:ID no debe repetirse en el mismo cac:InvoiceLine</t>
  </si>
  <si>
    <t>2494</t>
  </si>
  <si>
    <t>No existe el tag cac:TaxTotal en el /Invoice/cac:InvoiceLine/cac:SubInvoiceLine</t>
  </si>
  <si>
    <t>2495</t>
  </si>
  <si>
    <t>El tag cac:TaxTotal no debe repetirse en el /Invoice/cac:InvoiceLine/cac:SubInvoiceLine</t>
  </si>
  <si>
    <t>2496</t>
  </si>
  <si>
    <t>El dato ingresado en el tag /cac:SubInvoiceLine/cac:TaxTotal/cbc:TaxAmount no cumple el formato establecido</t>
  </si>
  <si>
    <t>2497</t>
  </si>
  <si>
    <t xml:space="preserve">El dato ingresado en el tag /cac:SubInvoiceLine/cac:TaxTotal/cac:TaxSubtotal/cbc:TaxAmount no cumple el formato establecido </t>
  </si>
  <si>
    <t>2498</t>
  </si>
  <si>
    <t>El XML no contiene el tag cac:TaxCategory/cac:TaxScheme/cbc:ID del /cac:SubInvoiceLine</t>
  </si>
  <si>
    <t>2499</t>
  </si>
  <si>
    <t>El código de tributo no debe repetirse a nivel del /cac:SubInvoiceLine</t>
  </si>
  <si>
    <t>2500</t>
  </si>
  <si>
    <t>Ingresar descripción y valor venta por ítem para documento de anticipos.</t>
  </si>
  <si>
    <t>2501</t>
  </si>
  <si>
    <t>Valor venta debe ser mayor a cero.</t>
  </si>
  <si>
    <t>2502</t>
  </si>
  <si>
    <t>El importe total para tipo de operación Venta interna-Anticipos debe ser mayor a cero.</t>
  </si>
  <si>
    <t>2503</t>
  </si>
  <si>
    <t>PaidAmount: monto anticipado por documento debe ser mayor a cero.</t>
  </si>
  <si>
    <t>2504</t>
  </si>
  <si>
    <t>Falta referencia de la factura relacionada con anticipo.</t>
  </si>
  <si>
    <t>2505</t>
  </si>
  <si>
    <t>Código de documento de referencia debe ser 02 o 03.</t>
  </si>
  <si>
    <t>2506</t>
  </si>
  <si>
    <t>cac:PrepaidPayment/cbc:ID: Factura o boleta no existe o comunicada de Baja.</t>
  </si>
  <si>
    <t>2507</t>
  </si>
  <si>
    <t>Factura relacionada con anticipo no corresponde como factura de anticipo.</t>
  </si>
  <si>
    <t>2508</t>
  </si>
  <si>
    <t>Ingresar documentos por anticipos.</t>
  </si>
  <si>
    <t>2509</t>
  </si>
  <si>
    <t>Total de anticipos diferente a los montos anticipados por documento.</t>
  </si>
  <si>
    <t>2510</t>
  </si>
  <si>
    <t>Nro nombre del documento no tiene el formato correcto.</t>
  </si>
  <si>
    <t>El tipo de documento no es aceptado.</t>
  </si>
  <si>
    <t>2512</t>
  </si>
  <si>
    <t>No existe información de serie o número.</t>
  </si>
  <si>
    <t>2513</t>
  </si>
  <si>
    <t>Dato no cumple con formato de acuerdo al tipo de documento</t>
  </si>
  <si>
    <t>2514</t>
  </si>
  <si>
    <t>No existe información de receptor de documento.</t>
  </si>
  <si>
    <t>2515</t>
  </si>
  <si>
    <t>Dato ingresado no cumple con catalogo 6.</t>
  </si>
  <si>
    <t>2516</t>
  </si>
  <si>
    <t>Debe indicar tipo de documento.</t>
  </si>
  <si>
    <t>2517</t>
  </si>
  <si>
    <t>Dato no cumple con formato establecido.</t>
  </si>
  <si>
    <t>2518</t>
  </si>
  <si>
    <t>Calculo IGV no es correcto.</t>
  </si>
  <si>
    <t>2519</t>
  </si>
  <si>
    <t>El importe total no coincide con la sumatoria de los valores de venta mas los tributos mas los cargos menos los descuentos que no afectan la base imponible</t>
  </si>
  <si>
    <t>2520</t>
  </si>
  <si>
    <t>El tipo documento del emisor que realiza el anticipo debe ser 6 del catalogo de tipo de documento.</t>
  </si>
  <si>
    <t>2521</t>
  </si>
  <si>
    <t>El dato ingresado debe indicar SERIE-CORRELATIVO del documento que se realizo el anticipo.</t>
  </si>
  <si>
    <t>2522</t>
  </si>
  <si>
    <t>No existe información del documento del anticipo.</t>
  </si>
  <si>
    <t>GrossWeightMeasure - El dato ingresado no cumple con el formato establecido.</t>
  </si>
  <si>
    <t>2524</t>
  </si>
  <si>
    <t>Debe indicar el documento afectado por la nota</t>
  </si>
  <si>
    <t>2525</t>
  </si>
  <si>
    <t>El dato ingresado en Quantity no cumple con el formato establecido.</t>
  </si>
  <si>
    <t>2526</t>
  </si>
  <si>
    <t>El dato ingresado en Percent no cumple con el formato establecido.</t>
  </si>
  <si>
    <t>2527</t>
  </si>
  <si>
    <t>PrepaidAmount: Monto total anticipado debe ser mayor a cero.</t>
  </si>
  <si>
    <t>2528</t>
  </si>
  <si>
    <t>cac:OriginatorDocumentReference/cbc:ID/@SchemaID - El tipo documento debe ser 6 del catalogo de tipo de documento.</t>
  </si>
  <si>
    <t>2529</t>
  </si>
  <si>
    <t>RUC que emitio documento de anticipo, no existe.</t>
  </si>
  <si>
    <t>2530</t>
  </si>
  <si>
    <t>RUC que solicita la emision de la factura, no existe.</t>
  </si>
  <si>
    <t>2531</t>
  </si>
  <si>
    <t>Codigo del Local Anexo del emisor no existe.</t>
  </si>
  <si>
    <t>No existe información de modalidad de transporte.</t>
  </si>
  <si>
    <t>2533</t>
  </si>
  <si>
    <t>Si ha consignado Transporte Privado, debe consignar Licencia de conducir, Placa, N constancia de inscripcion y marca del vehiculo.</t>
  </si>
  <si>
    <t>2534</t>
  </si>
  <si>
    <t>Si ha consignado Transporte Público, debe consignar Datos del transportista.</t>
  </si>
  <si>
    <t>2535</t>
  </si>
  <si>
    <t>La nota de crédito por otros conceptos tributarios debe tener Otros Documentos Relacionados.</t>
  </si>
  <si>
    <t>La serie y numero de la GRE consignada como documento relacionado no se encuentra registrado con baja por cambio de destinatario</t>
  </si>
  <si>
    <t>cac:OrderReference/cac:DocumentReference/cbc:DocumentTypeCode - El tipo de documento de serie y número dado de baja es incorrecta.</t>
  </si>
  <si>
    <t>2538</t>
  </si>
  <si>
    <t>El contribuyente no se encuentra autorizado como emisor electronico de Guía o de factura o de boletaFactura GEM.</t>
  </si>
  <si>
    <t>2539</t>
  </si>
  <si>
    <t>El contribuyente no esta activo.</t>
  </si>
  <si>
    <t>2540</t>
  </si>
  <si>
    <t>El contribuyente no esta habido.</t>
  </si>
  <si>
    <t>El XML no contiene el tag o no existe informacion del tipo de documento identidad del remitente.</t>
  </si>
  <si>
    <t>cac:DespatchSupplierParty/cbc:CustomerAssignedAccountID@schemeID - El valor ingresado como tipo de documento identidad del remitente es incorrecta.</t>
  </si>
  <si>
    <t>2543</t>
  </si>
  <si>
    <t>El XML no contiene el tag o no existe informacion de la dirección completa y detallada en domicilio fiscal.</t>
  </si>
  <si>
    <t>2544</t>
  </si>
  <si>
    <t>El XML no contiene el tag o no existe información de la provincia en domicilio fiscal.</t>
  </si>
  <si>
    <t>2545</t>
  </si>
  <si>
    <t>El XML no contiene el tag o no existe información del departamento en domicilio fiscal.</t>
  </si>
  <si>
    <t>2546</t>
  </si>
  <si>
    <t>El XML no contiene el tag o no existe información del distrito en domicilio fiscal.</t>
  </si>
  <si>
    <t>2547</t>
  </si>
  <si>
    <t>El XML no contiene el tag o no existe información del país en domicilio fiscal.</t>
  </si>
  <si>
    <t>2548</t>
  </si>
  <si>
    <t>El valor del país inválido.</t>
  </si>
  <si>
    <t>2549</t>
  </si>
  <si>
    <t>El XML no contiene el tag o no existe informacion del tipo de documento identidad del destinatario.</t>
  </si>
  <si>
    <t>2550</t>
  </si>
  <si>
    <t>cac:DeliveryCustomerParty/cbc:CustomerAssignedAccountID@schemeID - El dato ingresado de tipo de documento identidad del destinatario no cumple con el estandar.</t>
  </si>
  <si>
    <t>2551</t>
  </si>
  <si>
    <t>El XML no contiene el tag o no existe informacion de CustomerAssignedAccountID del proveedor de servicios.</t>
  </si>
  <si>
    <t>El XML no contiene el tag o no existe informacion del tipo de documento identidad del proveedor.</t>
  </si>
  <si>
    <t>2553</t>
  </si>
  <si>
    <t>cac:SellerSupplierParty/cbc:CustomerAssignedAccountID@schemeID - El dato ingresado no es valido.</t>
  </si>
  <si>
    <t>Para el motivo de traslado ingresado el Destinatario debe ser igual al remitente.</t>
  </si>
  <si>
    <t>Destinatario no debe ser igual al remitente.</t>
  </si>
  <si>
    <t>2556</t>
  </si>
  <si>
    <t>cbc:TransportModeCode -  dato ingresado no es valido.</t>
  </si>
  <si>
    <t>2557</t>
  </si>
  <si>
    <t>La fecha del StartDate no debe ser menor al Today.</t>
  </si>
  <si>
    <t>El XML no contiene el tag o no existe informacion en Numero de Ruc del transportista.</t>
  </si>
  <si>
    <t>2559</t>
  </si>
  <si>
    <t>/DespatchAdvice/cac:Shipment/cac:ShipmentStage/cac:CarrierParty/cac:PartyIdentification/cbc:ID  - El dato ingresado no cumple con el formato establecido.</t>
  </si>
  <si>
    <t>Transportista no debe ser igual al remitente</t>
  </si>
  <si>
    <t>El XML no contiene el tag o no existe informacion del tipo de documento identidad del transportista.</t>
  </si>
  <si>
    <t>2562</t>
  </si>
  <si>
    <t>/DespatchAdvice/cac:Shipment/cac:ShipmentStage/cac:CarrierParty/cac:PartyIdentification/cbc:ID@schemeID  - El dato ingresado no es valido.</t>
  </si>
  <si>
    <t>El XML no contiene el tag o no existe informacion de Apellido, Nombre o razon social del transportista.</t>
  </si>
  <si>
    <t>2564</t>
  </si>
  <si>
    <t>Razon social transportista - El dato ingresado no cumple con el formato establecido.</t>
  </si>
  <si>
    <t>2565</t>
  </si>
  <si>
    <t>El XML no contiene el tag o no existe informacion del tipo de unidad de transporte.</t>
  </si>
  <si>
    <t>El XML no contiene el tag o no existe informacion del Numero de placa del vehículo.</t>
  </si>
  <si>
    <t>Numero de placa del vehículo - El dato ingresado no cumple con el formato establecido.</t>
  </si>
  <si>
    <t>El XML no contiene el tag o no existe informacion en el Numero de documento de identidad del conductor.</t>
  </si>
  <si>
    <t>Documento identidad del conductor - El dato ingresado no cumple con el formato establecido.</t>
  </si>
  <si>
    <t>El XML no contiene el tag o no existe informacion del tipo de documento identidad del conductor.</t>
  </si>
  <si>
    <t>cac:DriverPerson/ID@schemeID - El valor ingresado de tipo de documento identidad de conductor es incorrecto.</t>
  </si>
  <si>
    <t>El XML no contiene el tag o no existe informacion del Numero de licencia del conductor.</t>
  </si>
  <si>
    <t>Numero de licencia del conductor - El dato ingresado no cumple con el formato establecido.</t>
  </si>
  <si>
    <t>El XML no contiene el tag o no existe informacion de direccion detallada de punto de llegada.</t>
  </si>
  <si>
    <t>2575</t>
  </si>
  <si>
    <t>El XML no contiene el tag o no existe informacion de CityName.</t>
  </si>
  <si>
    <t>2576</t>
  </si>
  <si>
    <t>El XML no contiene el tag o no existe informacion de District.</t>
  </si>
  <si>
    <t>El XML no contiene el tag o no existe informacion de direccion detallada de punto de partida.</t>
  </si>
  <si>
    <t>2578</t>
  </si>
  <si>
    <t>2579</t>
  </si>
  <si>
    <t>El XML No contiene el tag o no existe información de la cantidad del item.</t>
  </si>
  <si>
    <t>2581</t>
  </si>
  <si>
    <t>No puede dar de baja 'Recibos de servicios publicos' por SEE-Desde los sistemas del contribuyente</t>
  </si>
  <si>
    <t>2582</t>
  </si>
  <si>
    <t>Solo se debe incluir el tag de Comprobante de referencia cuando se trata de una nota de credito o debito</t>
  </si>
  <si>
    <t>2583</t>
  </si>
  <si>
    <t>Debe consignar tipo de documento que modifica</t>
  </si>
  <si>
    <t>2584</t>
  </si>
  <si>
    <t>El XML debe contener al menos un tributo de IGV en el /cac:SubInvoiceLine</t>
  </si>
  <si>
    <t>2585</t>
  </si>
  <si>
    <t>El dato ingresado como indicador de cargo/descuento a nivel de /cac:SubInvoiceLine no corresponde al valor esperado</t>
  </si>
  <si>
    <t>2586</t>
  </si>
  <si>
    <t>El XML no contiene el tag o no existe informacion de codigo de motivo de cargo/descuento a nivel de /cac:SubInvoiceLine</t>
  </si>
  <si>
    <t>2587</t>
  </si>
  <si>
    <t>El factor de cargo/descuento a nivel de /cac:SubInvoiceLine no cumple con el formato establecido</t>
  </si>
  <si>
    <t>2588</t>
  </si>
  <si>
    <t>El dato ingresado en el tag cac:SubInvoiceLine/cac:Allowancecharge/cbc:Amount no cumple con el formato establecido</t>
  </si>
  <si>
    <t>2589</t>
  </si>
  <si>
    <t>El Monto base de cargo/descuento a nivel de /cac:SubInvoiceLine no cumple con el formato establecido</t>
  </si>
  <si>
    <t>2590</t>
  </si>
  <si>
    <t xml:space="preserve">El dato ingresado en el tag /cac:SubInvoiceLine/cac:TaxTotal/cac:TaxSubtotal/cbc:TaxableAmount no cumple el formato establecido </t>
  </si>
  <si>
    <t>2591</t>
  </si>
  <si>
    <t>No existe el tag cac:LegalMonetaryTotal/cbc:LineExtensionAmount</t>
  </si>
  <si>
    <t>2592</t>
  </si>
  <si>
    <t>No existe el tag cac:LegalMonetaryTotal/cbc:TaxInclusiveAmount</t>
  </si>
  <si>
    <t>2593</t>
  </si>
  <si>
    <t>La dirección completa y detallada del domicilio del vendedor no cumple con el formato establecido</t>
  </si>
  <si>
    <t>2594</t>
  </si>
  <si>
    <t>2595</t>
  </si>
  <si>
    <t>Falta consignar informacion del CUSPP</t>
  </si>
  <si>
    <t>2596</t>
  </si>
  <si>
    <t>Falta consignar informacion del Periodo</t>
  </si>
  <si>
    <t>2597</t>
  </si>
  <si>
    <t>Falta consignar información del monto de interes moratorio</t>
  </si>
  <si>
    <t>2600</t>
  </si>
  <si>
    <t>El comprobante fue enviado fuera del plazo permitido.</t>
  </si>
  <si>
    <t>2601</t>
  </si>
  <si>
    <t>Senor contribuyente a la fecha no se encuentra registrado ó habilitado con la condición de Agente de percepción.</t>
  </si>
  <si>
    <t>2602</t>
  </si>
  <si>
    <t>El régimen percepción enviado no corresponde con su condición de Agente de percepción.</t>
  </si>
  <si>
    <t>2603</t>
  </si>
  <si>
    <t>La tasa de percepción enviada no corresponde con el régimen de percepción.</t>
  </si>
  <si>
    <t>2604</t>
  </si>
  <si>
    <t>El Cliente no puede ser el mismo que el Emisor del comprobante de percepción.</t>
  </si>
  <si>
    <t>2605</t>
  </si>
  <si>
    <t>Número de RUC no existe.</t>
  </si>
  <si>
    <t>2606</t>
  </si>
  <si>
    <t>Documento de identidad del Cliente no existe.</t>
  </si>
  <si>
    <t>2607</t>
  </si>
  <si>
    <t>La moneda del importe de cobro debe ser la misma que la del documento relacionado.</t>
  </si>
  <si>
    <t>2608</t>
  </si>
  <si>
    <t>Los montos de pago, percibidos y montos cobrados consignados para el documento relacionado no son correctos.</t>
  </si>
  <si>
    <t>2609</t>
  </si>
  <si>
    <t>El comprobante electrónico enviado no se encuentra registrado en la SUNAT.</t>
  </si>
  <si>
    <t>2610</t>
  </si>
  <si>
    <t>La fecha de emisión, Importe total del comprobante y la moneda del comprobante electrónico enviado no son los registrados en los Sistemas de SUNAT.</t>
  </si>
  <si>
    <t>2611</t>
  </si>
  <si>
    <t>El comprobante electrónico no ha sido emitido al cliente.</t>
  </si>
  <si>
    <t>2612</t>
  </si>
  <si>
    <t>La fecha de cobro debe estar entre el primer día calendario del mes al cual corresponde la fecha de emisión del comprobante de percepción o desde la fecha de emisión del comprobante relacionado.</t>
  </si>
  <si>
    <t>2613</t>
  </si>
  <si>
    <t>El Nro. de documento con número de cobro ya se encuentra en la Relación de Documentos Relacionados agregados.</t>
  </si>
  <si>
    <t>2614</t>
  </si>
  <si>
    <t>El Nro. de documento con el número de cobro ya se encuentra registrado como pago realizado.</t>
  </si>
  <si>
    <t>2615</t>
  </si>
  <si>
    <t>Importe total percibido debe ser igual a la suma de los importes percibidos por cada documento relacionado.</t>
  </si>
  <si>
    <t>2616</t>
  </si>
  <si>
    <t>Importe total cobrado debe ser igual a la suma de los importe totales cobrados por cada documento relacionado.</t>
  </si>
  <si>
    <t>2617</t>
  </si>
  <si>
    <t>Senor contribuyente a la fecha no se encuentra registrado ó habilitado con la condición de Agente de retención.</t>
  </si>
  <si>
    <t>2618</t>
  </si>
  <si>
    <t>El régimen retención enviado no corresponde con su condición de Agente de retención.</t>
  </si>
  <si>
    <t>2619</t>
  </si>
  <si>
    <t>La tasa de retención enviada no corresponde con el régimen de retención.</t>
  </si>
  <si>
    <t>2620</t>
  </si>
  <si>
    <t>El Proveedor no puede ser el mismo que el Emisor del comprobante de retención.</t>
  </si>
  <si>
    <t>Número de RUC del Proveedor no existe.</t>
  </si>
  <si>
    <t>2622</t>
  </si>
  <si>
    <t>La moneda del importe de pago debe ser la misma que la del documento relacionado.</t>
  </si>
  <si>
    <t>2623</t>
  </si>
  <si>
    <t>Los montos de pago, retenidos y montos pagados consignados para el documento relacionado no son correctos.</t>
  </si>
  <si>
    <t>2624</t>
  </si>
  <si>
    <t>El comprobante electrónico no ha sido emitido por el proveedor.</t>
  </si>
  <si>
    <t>2625</t>
  </si>
  <si>
    <t>La fecha de pago debe estar entre el primer día calendario del mes al cual corresponde la fecha de emisión del comprobante de retención o desde la fecha de emisión del comprobante relacionado.</t>
  </si>
  <si>
    <t>2626</t>
  </si>
  <si>
    <t>El Nro. de documento con el número de pago ya se encuentra en la Relación de Documentos Relacionados agregados.</t>
  </si>
  <si>
    <t>2627</t>
  </si>
  <si>
    <t>El Nro. de documento con el número de pago ya se encuentra registrado como pago realizado.</t>
  </si>
  <si>
    <t>2628</t>
  </si>
  <si>
    <t>Importe total retenido debe ser igual a la suma de los importes retenidos por cada documento relacionado.</t>
  </si>
  <si>
    <t>2629</t>
  </si>
  <si>
    <t>Importe total pagado debe ser igual a la suma de los importes pagados por cada documento relacionado.</t>
  </si>
  <si>
    <t>2630</t>
  </si>
  <si>
    <t>La serie o numero del documento(01) modificado por la Nota de Credito no cumple con el formato establecido para tipo codigo Nota Credito 10.</t>
  </si>
  <si>
    <t>2631</t>
  </si>
  <si>
    <t>La serie o numero del documento(12) modificado por la Nota de Credito no cumple con el formato establecido para tipo codigo Nota Credito 10.</t>
  </si>
  <si>
    <t>2632</t>
  </si>
  <si>
    <t>La serie o numero del documento(56) modificado por la Nota de Credito no cumple con el formato establecido para tipo codigo Nota Credito 10.</t>
  </si>
  <si>
    <t>2633</t>
  </si>
  <si>
    <t>La serie o numero del documento(03) modificado por la Nota de Credito no cumple con el formato establecido para tipo codigo Nota Credito 10.</t>
  </si>
  <si>
    <t>2634</t>
  </si>
  <si>
    <t>ReferenceID - El dato ingresado debe indicar serie correcta del documento al que se relaciona la Nota tipo 10.</t>
  </si>
  <si>
    <t>2635</t>
  </si>
  <si>
    <t>Debe existir DocumentTypeCode de Otros documentos relacionados con valor 99 para un tipo codigo Nota Credito 10.</t>
  </si>
  <si>
    <t>2636</t>
  </si>
  <si>
    <t>No existe datos del ID de los documentos relacionados con valor 99 para un tipo codigo Nota Credito 10.</t>
  </si>
  <si>
    <t>2637</t>
  </si>
  <si>
    <t>No existe datos del DocumentType de los documentos relacionados con valor 99 para un tipo codigo Nota Credito 10.</t>
  </si>
  <si>
    <t>2638</t>
  </si>
  <si>
    <t xml:space="preserve">Si tiene operaciones de un tributo en alguna línea, debe consignar el tag del total del tributo </t>
  </si>
  <si>
    <t>2640</t>
  </si>
  <si>
    <t>Operacion gratuita, solo debe consignar un monto referencial</t>
  </si>
  <si>
    <t>2641</t>
  </si>
  <si>
    <t>Operacion gratuita,  debe consignar Total valor venta - operaciones gratuitas  mayor a cero</t>
  </si>
  <si>
    <t>2642</t>
  </si>
  <si>
    <t>Operaciones de exportacion, deben consignar Tipo Afectacion igual a 40</t>
  </si>
  <si>
    <t>2643</t>
  </si>
  <si>
    <t>Factura de operacion sujeta IVAP debe consignar Monto de impuestos por item</t>
  </si>
  <si>
    <t>2644</t>
  </si>
  <si>
    <t>Comprobante operacion sujeta IVAP solo debe tener ítems con código de afectación del IGV igual a 17</t>
  </si>
  <si>
    <t>2645</t>
  </si>
  <si>
    <t>Factura de operacion sujeta a IVAP debe consignar items con codigo de tributo 1000</t>
  </si>
  <si>
    <t>2646</t>
  </si>
  <si>
    <t>Factura de operacion sujeta a IVAP debe consignar  items con nombre  de tributo IVAP</t>
  </si>
  <si>
    <t>2647</t>
  </si>
  <si>
    <t>Código tributo  UN/ECE debe ser VAT</t>
  </si>
  <si>
    <t>2648</t>
  </si>
  <si>
    <t>Factura de operacion sujeta al IVAP, solo puede consignar informacion para operacion gravadas</t>
  </si>
  <si>
    <t>2649</t>
  </si>
  <si>
    <t>Operación sujeta al IVAP, debe consignar monto en total operaciones gravadas</t>
  </si>
  <si>
    <t>2650</t>
  </si>
  <si>
    <t>Factura de operacion sujeta al IVAP , no debe consignar valor para ISC o debe ser 0</t>
  </si>
  <si>
    <t>2651</t>
  </si>
  <si>
    <t>Factura de operacion sujeta al IVAP , no debe consignar valor para IGV o debe ser 0</t>
  </si>
  <si>
    <t>2652</t>
  </si>
  <si>
    <t>Factura de operacion sujeta al IVAP , debe registrar mensaje 2007</t>
  </si>
  <si>
    <t>2653</t>
  </si>
  <si>
    <t>Servicios prestados No domiciliados. Total IGV debe se mayor a cero</t>
  </si>
  <si>
    <t>2654</t>
  </si>
  <si>
    <t>Servicios prestados No domiciliados. Código tributo a consignar debe ser 1000</t>
  </si>
  <si>
    <t>2655</t>
  </si>
  <si>
    <t>Servicios prestados No domiciliados. El código de afectación debe ser 40</t>
  </si>
  <si>
    <t>2656</t>
  </si>
  <si>
    <t>Servicios prestados No domiciliados. Código tributo  UN/ECE debe ser VAT</t>
  </si>
  <si>
    <t>2657</t>
  </si>
  <si>
    <t>El Nro. de documento ya fué utilizado en la emision de CPE.</t>
  </si>
  <si>
    <t>2658</t>
  </si>
  <si>
    <t>El Nro. de documento no se ha informado o no se encuentra en estado Revertido</t>
  </si>
  <si>
    <t>2659</t>
  </si>
  <si>
    <t>La fecha de cobro de cada documento relacionado deben ser del mismo Periodo (mm/aaaa), asimismo estas fechas podrán ser menores o iguales a la fecha de emisión del comprobante de percepción</t>
  </si>
  <si>
    <t>2660</t>
  </si>
  <si>
    <t>Los datos del CPE revertido no corresponden a los registrados en la SUNAT</t>
  </si>
  <si>
    <t>2661</t>
  </si>
  <si>
    <t>La fecha de cobro de cada documento relacionado deben ser del mismo Periodo (mm/aaaa), asimismo estas fechas podrán ser menores o iguales a la fecha de emisión del comprobante de retencion</t>
  </si>
  <si>
    <t>2662</t>
  </si>
  <si>
    <t>El Nro. de documento ya fué utilizado en la emision de CRE.</t>
  </si>
  <si>
    <t>2663</t>
  </si>
  <si>
    <t>El documento indicado no existe no puede ser modificado</t>
  </si>
  <si>
    <t>2664</t>
  </si>
  <si>
    <t>El calculo de la base imponible de percepción y el monto de la percepción no coincide con el monto total informado.</t>
  </si>
  <si>
    <t>2665</t>
  </si>
  <si>
    <t>El contribuyente no se encuentra autorizado a emitir Tickets</t>
  </si>
  <si>
    <t>2666</t>
  </si>
  <si>
    <t>Las percepciones son solo válidas para boletas de venta al contado.</t>
  </si>
  <si>
    <t>2667</t>
  </si>
  <si>
    <t>2668</t>
  </si>
  <si>
    <t>Importe total cobrado debe ser igual a la suma de los importes cobrados por cada documento relacionado.</t>
  </si>
  <si>
    <t>2669</t>
  </si>
  <si>
    <t>El dato ingresado en TotalInvoiceAmount debe ser numérico mayor a cero</t>
  </si>
  <si>
    <t>2670</t>
  </si>
  <si>
    <t>La razón social no corresponde al ruc informado.</t>
  </si>
  <si>
    <t>2671</t>
  </si>
  <si>
    <t>La fecha de generación de la comunicación/resumen debe ser mayor o igual a la fecha de generación/emisión de los documentos</t>
  </si>
  <si>
    <t>2672</t>
  </si>
  <si>
    <t>La fecha de generación del documento revertido debe ser menor o igual a la fecha actual.</t>
  </si>
  <si>
    <t>2673</t>
  </si>
  <si>
    <t>El dato ingresado no cumple con el formato RR-fecha-correlativo.</t>
  </si>
  <si>
    <t>2674</t>
  </si>
  <si>
    <t>El dato ingresado  no cumple con el formato de DocumentSerialID, para DocumentTypeCode con valor 20.</t>
  </si>
  <si>
    <t>2675</t>
  </si>
  <si>
    <t>El dato ingresado  no cumple con el formato de DocumentSerialID, para DocumentTypeCode con valor 40.</t>
  </si>
  <si>
    <t>2676</t>
  </si>
  <si>
    <t>El XML no contiene el tag o no existe información del número de RUC del emisor</t>
  </si>
  <si>
    <t>2677</t>
  </si>
  <si>
    <t>El valor ingresado como número de RUC del emisor es incorrecto</t>
  </si>
  <si>
    <t>El XML no contiene el atributo o no existe información del tipo de documento del emisor</t>
  </si>
  <si>
    <t>2679</t>
  </si>
  <si>
    <t>El XML no contiene el tag o no existe información del número de documento de identidad del cliente</t>
  </si>
  <si>
    <t>2680</t>
  </si>
  <si>
    <t>El valor ingresado como documento de identidad del cliente es incorrecto</t>
  </si>
  <si>
    <t>2681</t>
  </si>
  <si>
    <t>El XML no contiene el atributo o no existe información del tipo de documento del cliente</t>
  </si>
  <si>
    <t>2682</t>
  </si>
  <si>
    <t>El valor ingresado como tipo de documento del cliente es incorrecto</t>
  </si>
  <si>
    <t>2683</t>
  </si>
  <si>
    <t>El XML no contiene el tag o no existe información del Importe total Percibido</t>
  </si>
  <si>
    <t>2684</t>
  </si>
  <si>
    <t>El XML no contiene el tag o no existe información de la moneda del Importe total Percibido</t>
  </si>
  <si>
    <t>2685</t>
  </si>
  <si>
    <t>El valor de la moneda del Importe total Percibido debe ser PEN</t>
  </si>
  <si>
    <t>2686</t>
  </si>
  <si>
    <t>El XML no contiene el tag o no existe información del Importe total Cobrado</t>
  </si>
  <si>
    <t>2687</t>
  </si>
  <si>
    <t>El dato ingresado en SUNATTotalCashed debe ser numérico mayor a cero</t>
  </si>
  <si>
    <t>2689</t>
  </si>
  <si>
    <t>El XML no contiene el tag o no existe información de la moneda del Importe total Cobrado</t>
  </si>
  <si>
    <t>2690</t>
  </si>
  <si>
    <t>El valor de la moneda del Importe total Cobrado debe ser PEN</t>
  </si>
  <si>
    <t>2691</t>
  </si>
  <si>
    <t>El XML no contiene el tag o no existe información del tipo de documento relacionado</t>
  </si>
  <si>
    <t>El tipo de documento relacionado no es válido</t>
  </si>
  <si>
    <t>2693</t>
  </si>
  <si>
    <t>El XML no contiene el tag o no existe información del número de documento relacionado</t>
  </si>
  <si>
    <t>2694</t>
  </si>
  <si>
    <t>El número de documento relacionado no está permitido o no es valido</t>
  </si>
  <si>
    <t>2695</t>
  </si>
  <si>
    <t>El XML no contiene el tag o no existe información del Importe total documento Relacionado</t>
  </si>
  <si>
    <t>2696</t>
  </si>
  <si>
    <t>El dato ingresado en el importe total documento relacionado debe ser numérico mayor a cero</t>
  </si>
  <si>
    <t>2697</t>
  </si>
  <si>
    <t>El XML no contiene el tag o no existe información del número de cobro</t>
  </si>
  <si>
    <t>2698</t>
  </si>
  <si>
    <t>El dato ingresado en el número de cobro no es válido</t>
  </si>
  <si>
    <t>2699</t>
  </si>
  <si>
    <t>El XML no contiene el tag o no existe información del Importe del cobro</t>
  </si>
  <si>
    <t>2700</t>
  </si>
  <si>
    <t>El dato ingresado en el Importe del cobro debe ser numérico mayor a cero</t>
  </si>
  <si>
    <t>2701</t>
  </si>
  <si>
    <t>El XML no contiene el tag o no existe información de la moneda del documento Relacionado</t>
  </si>
  <si>
    <t>2702</t>
  </si>
  <si>
    <t>El XML no contiene el tag o no existe información de la fecha de cobro del documento Relacionado</t>
  </si>
  <si>
    <t>2703</t>
  </si>
  <si>
    <t>La fecha de cobro del documento relacionado no es válido</t>
  </si>
  <si>
    <t>2704</t>
  </si>
  <si>
    <t>El XML no contiene el tag o no existe información del Importe percibido</t>
  </si>
  <si>
    <t>2705</t>
  </si>
  <si>
    <t>El dato ingresado en el Importe percibido debe ser numérico mayor a cero</t>
  </si>
  <si>
    <t>2706</t>
  </si>
  <si>
    <t>El XML no contiene el tag o no existe información de la moneda de importe percibido</t>
  </si>
  <si>
    <t>2707</t>
  </si>
  <si>
    <t>El valor de la moneda de importe percibido debe ser PEN</t>
  </si>
  <si>
    <t>2708</t>
  </si>
  <si>
    <t>El XML no contiene el tag o no existe información de la Fecha de Percepción</t>
  </si>
  <si>
    <t>2709</t>
  </si>
  <si>
    <t>La fecha de percepción no es válido</t>
  </si>
  <si>
    <t>2710</t>
  </si>
  <si>
    <t>El XML no contiene el tag o no existe información del Monto total a cobrar</t>
  </si>
  <si>
    <t>2711</t>
  </si>
  <si>
    <t>El dato ingresado en el Monto total a cobrar debe ser numérico mayor a cero</t>
  </si>
  <si>
    <t>2712</t>
  </si>
  <si>
    <t>El XML no contiene el tag o no existe información de la moneda del Monto total a cobrar</t>
  </si>
  <si>
    <t>2713</t>
  </si>
  <si>
    <t>El valor de la moneda del Monto total a cobrar debe ser PEN</t>
  </si>
  <si>
    <t>2714</t>
  </si>
  <si>
    <t>El valor de la moneda de referencia para el tipo de cambio no es válido</t>
  </si>
  <si>
    <t>2715</t>
  </si>
  <si>
    <t>El valor de la moneda objetivo para la Tasa de Cambio debe ser PEN</t>
  </si>
  <si>
    <t>2716</t>
  </si>
  <si>
    <t>El dato ingresado en el tipo de cambio debe ser numérico mayor a cero</t>
  </si>
  <si>
    <t>2717</t>
  </si>
  <si>
    <t>La fecha de cambio no es válido</t>
  </si>
  <si>
    <t>2718</t>
  </si>
  <si>
    <t>El valor de la moneda del documento Relacionado no es válido</t>
  </si>
  <si>
    <t>2719</t>
  </si>
  <si>
    <t>El XML no contiene el tag o no existe información de la moneda de referencia para el tipo de cambio</t>
  </si>
  <si>
    <t>2720</t>
  </si>
  <si>
    <t>El XML no contiene el tag o no existe información de la moneda objetivo para la Tasa de Cambio</t>
  </si>
  <si>
    <t>2721</t>
  </si>
  <si>
    <t>El XML no contiene el tag o no existe información del tipo de cambio</t>
  </si>
  <si>
    <t>2722</t>
  </si>
  <si>
    <t>El XML no contiene el tag o no existe información de la fecha de cambio</t>
  </si>
  <si>
    <t>El XML no contiene el tag o no existe información del número de documento de identidad del proveedor</t>
  </si>
  <si>
    <t>El valor ingresado como documento de identidad del proveedor es incorrecto</t>
  </si>
  <si>
    <t>2725</t>
  </si>
  <si>
    <t>El XML no contiene el tag o no existe información del Importe total Retenido</t>
  </si>
  <si>
    <t>2726</t>
  </si>
  <si>
    <t>El XML no contiene el tag o no existe información de la moneda del Importe total Retenido</t>
  </si>
  <si>
    <t>2727</t>
  </si>
  <si>
    <t>2728</t>
  </si>
  <si>
    <t>El valor de la moneda del Importe total Retenido debe ser PEN</t>
  </si>
  <si>
    <t>2729</t>
  </si>
  <si>
    <t>El XML no contiene el tag o no existe información del Importe total Pagado</t>
  </si>
  <si>
    <t>2730</t>
  </si>
  <si>
    <t>El dato ingresado en SUNATTotalPaid debe ser numérico mayor a cero</t>
  </si>
  <si>
    <t>2731</t>
  </si>
  <si>
    <t>El XML no contiene el tag o no existe información de la moneda del Importe total Pagado</t>
  </si>
  <si>
    <t>2732</t>
  </si>
  <si>
    <t>El valor de la moneda del Importe total Pagado debe ser PEN</t>
  </si>
  <si>
    <t>2733</t>
  </si>
  <si>
    <t>El XML no contiene el tag o no existe información del número de pago</t>
  </si>
  <si>
    <t>2734</t>
  </si>
  <si>
    <t>El dato ingresado en el número de pago no es válido</t>
  </si>
  <si>
    <t>2735</t>
  </si>
  <si>
    <t>El XML no contiene el tag o no existe información del Importe del pago</t>
  </si>
  <si>
    <t>2736</t>
  </si>
  <si>
    <t>El dato ingresado en el Importe del pago debe ser numérico mayor a cero</t>
  </si>
  <si>
    <t>2737</t>
  </si>
  <si>
    <t>El XML no contiene el tag o no existe información de la fecha de pago del documento Relacionado</t>
  </si>
  <si>
    <t>2738</t>
  </si>
  <si>
    <t>La fecha de pago del documento relacionado no es válido</t>
  </si>
  <si>
    <t>2739</t>
  </si>
  <si>
    <t>El XML no contiene el tag o no existe información del Importe retenido</t>
  </si>
  <si>
    <t>2740</t>
  </si>
  <si>
    <t>El dato ingresado en el Importe retenido debe ser numérico mayor a cero</t>
  </si>
  <si>
    <t>2741</t>
  </si>
  <si>
    <t>El XML no contiene el tag o no existe información de la moneda de importe retenido</t>
  </si>
  <si>
    <t>2742</t>
  </si>
  <si>
    <t>El valor de la moneda de importe retenido debe ser PEN</t>
  </si>
  <si>
    <t>2743</t>
  </si>
  <si>
    <t>El XML no contiene el tag o no existe información de la Fecha de Retención</t>
  </si>
  <si>
    <t>2744</t>
  </si>
  <si>
    <t>La fecha de retención no es válido</t>
  </si>
  <si>
    <t>2745</t>
  </si>
  <si>
    <t>El XML no contiene el tag o no existe información del Importe total a pagar (neto)</t>
  </si>
  <si>
    <t>2746</t>
  </si>
  <si>
    <t>El dato ingresado en el Importe total a pagar (neto) debe ser numérico mayor a cero</t>
  </si>
  <si>
    <t>2747</t>
  </si>
  <si>
    <t>El XML no contiene el tag o no existe información de la Moneda del monto neto pagado</t>
  </si>
  <si>
    <t>2748</t>
  </si>
  <si>
    <t>El valor de la Moneda del monto neto pagado debe ser PEN</t>
  </si>
  <si>
    <t>2749</t>
  </si>
  <si>
    <t>La moneda de referencia para el tipo de cambio debe ser la misma que la del documento relacionado</t>
  </si>
  <si>
    <t>2750</t>
  </si>
  <si>
    <t>El comprobante que desea revertir no existe.</t>
  </si>
  <si>
    <t>2751</t>
  </si>
  <si>
    <t>El comprobante fue informado previamente en una reversión.</t>
  </si>
  <si>
    <t>El número de ítem no puede estar duplicado.</t>
  </si>
  <si>
    <t>2753</t>
  </si>
  <si>
    <t>No debe existir mas de una referencia en guía dada de baja.</t>
  </si>
  <si>
    <t>2754</t>
  </si>
  <si>
    <t>El tipo de documento de la guia dada de baja es incorrecto (tipo documento = 09).</t>
  </si>
  <si>
    <t>2755</t>
  </si>
  <si>
    <t>El tipo de documento relacionado es incorrecto (ver catalogo nro 21).</t>
  </si>
  <si>
    <t>2756</t>
  </si>
  <si>
    <t>El numero de documento relacionado no cumple con el estandar.</t>
  </si>
  <si>
    <t>El XML no contiene el tag o no existe información del número de documento de identidad del destinatario.</t>
  </si>
  <si>
    <t>El valor ingresado como numero de documento de identidad del destinatario no cumple con el estandar.</t>
  </si>
  <si>
    <t>El XML no contiene el atributo o no existe información del tipo de documento del destinatario.</t>
  </si>
  <si>
    <t>El valor ingresado como tipo de documento del destinatario es incorrecto.</t>
  </si>
  <si>
    <t>El XML no contiene el atributo o no existe información del nombre o razon social del destinatario.</t>
  </si>
  <si>
    <t>2762</t>
  </si>
  <si>
    <t>El valor ingresado como tipo de documento del nombre o razon social del destinatario es incorrecto.</t>
  </si>
  <si>
    <t>2763</t>
  </si>
  <si>
    <t>El XML no contiene el tag o no existe información del número de documento de identidad del tercero relacionado.</t>
  </si>
  <si>
    <t>2764</t>
  </si>
  <si>
    <t>El valor ingresado como numero de documento de identidad del tercero relacionado no cumple con el estandar.</t>
  </si>
  <si>
    <t>2765</t>
  </si>
  <si>
    <t>El XML no contiene el atributo o no existe información del tipo de documento del tercero relacionado.</t>
  </si>
  <si>
    <t>2766</t>
  </si>
  <si>
    <t>El valor ingresado como tipo de documento del tercero relacionado es incorrecto.</t>
  </si>
  <si>
    <t>2767</t>
  </si>
  <si>
    <t>Para exportación, el XML no contiene el tag o no existe informacion del numero de DAM.</t>
  </si>
  <si>
    <t>2768</t>
  </si>
  <si>
    <t>Para importación, el XML no contiene el tag o no existe informacion del numero de manifiesto de carga o numero de DAM.</t>
  </si>
  <si>
    <t>El valor ingresado como numero de DAM no cumple con el estandar.</t>
  </si>
  <si>
    <t>2770</t>
  </si>
  <si>
    <t>El valor ingresado como numero de manifiesto de carga no cumple con el estandar.</t>
  </si>
  <si>
    <t>2771</t>
  </si>
  <si>
    <t>El XML no contiene el atributo o no existe informacion en numero de bultos o pallets obligatorio para importación.</t>
  </si>
  <si>
    <t>2772</t>
  </si>
  <si>
    <t>El valor ingresado como numero de bultos o pallets no cumple con el estandar.</t>
  </si>
  <si>
    <t>El valor ingresado como modalidad de transporte no es correcto.</t>
  </si>
  <si>
    <t>2774</t>
  </si>
  <si>
    <t>El XML contiene datos de vehiculo o datos de conductores para una operación de transporte publico completo.</t>
  </si>
  <si>
    <t>El XML no contiene el atributo o no existe informacion del codigo de ubigeo.</t>
  </si>
  <si>
    <t>El valor ingresado como codigo de ubigeo no cumple con el estandar.</t>
  </si>
  <si>
    <t>2777</t>
  </si>
  <si>
    <t>El XML no contiene el atributo o no existe informacion de direccion completa y detallada.</t>
  </si>
  <si>
    <t>2778</t>
  </si>
  <si>
    <t>El valor ingresado como direccion completa y detallada no cumple con el estandar.</t>
  </si>
  <si>
    <t>2779</t>
  </si>
  <si>
    <t>El XML no contiene el atributo o no existe informacion de cantida de items</t>
  </si>
  <si>
    <t>El valor ingresado en cantidad de items no cumple con el estandar</t>
  </si>
  <si>
    <t>El XML no contiene el atributo o no existe informacion de descripcion del items</t>
  </si>
  <si>
    <t>2782</t>
  </si>
  <si>
    <t>El valor ingresado en descripcion del items no cumple con el estandar</t>
  </si>
  <si>
    <t>2783</t>
  </si>
  <si>
    <t>El valor ingresado en codigo del item no cumple con el estandar.</t>
  </si>
  <si>
    <t>2784</t>
  </si>
  <si>
    <t>Debe consignar codigo de regimen de percepcion (sac:AdditionalMonetaryTotal/cbc:ID@schemeID).</t>
  </si>
  <si>
    <t>2785</t>
  </si>
  <si>
    <t>sac:ReferenceAmount es obligatorio y mayor a cero cuando sac:AdditionalMonetaryTotal/cbc:ID es 2001</t>
  </si>
  <si>
    <t>2786</t>
  </si>
  <si>
    <t>El dato ingresado en sac:ReferenceAmount no cumple con el formato establecido</t>
  </si>
  <si>
    <t>2787</t>
  </si>
  <si>
    <t>Debe consignar la moneda para la Base imponible percepcion.</t>
  </si>
  <si>
    <t>2788</t>
  </si>
  <si>
    <t>El dato ingresado en moneda debe ser PEN</t>
  </si>
  <si>
    <t>2789</t>
  </si>
  <si>
    <t>cbc:PayableAmount es obligatorio y mayor a cero cuando sac:AdditionalMonetaryTotal/cbc:ID es 2001</t>
  </si>
  <si>
    <t>2790</t>
  </si>
  <si>
    <t>El dato ingresado en cbc:PayableAmount no cumple con el formato establecido</t>
  </si>
  <si>
    <t>2791</t>
  </si>
  <si>
    <t>Debe consignar la moneda para el Monto de la percepcion (cbc:PayableAmount/@currencyID)</t>
  </si>
  <si>
    <t>2792</t>
  </si>
  <si>
    <t>El dato ingresado en moneda del monto de cargo/descuento para percepcion debe ser PEN</t>
  </si>
  <si>
    <t>2793</t>
  </si>
  <si>
    <t>sac:TotalAmount es obligatorio y mayor a cero cuando sac:AdditionalMonetaryTotal/cbc:ID es 2001</t>
  </si>
  <si>
    <t>2794</t>
  </si>
  <si>
    <t>El dato ingresado en sac:TotalAmount no cumple con el formato establecido</t>
  </si>
  <si>
    <t>2795</t>
  </si>
  <si>
    <t>Debe consignar la moneda para el Monto Total incluido la percepcion (sac:TotalAmount/@currencyID)</t>
  </si>
  <si>
    <t>2796</t>
  </si>
  <si>
    <t>El dato ingresado en sac:TotalAmount/@currencyID debe ser PEN</t>
  </si>
  <si>
    <t>2797</t>
  </si>
  <si>
    <t>El Monto de percepcion no puede ser mayor al importe total del comprobante.</t>
  </si>
  <si>
    <t>2798</t>
  </si>
  <si>
    <t>El Monto de percepcion no tiene el valor correcto según el tipo de percepcion.</t>
  </si>
  <si>
    <t>2799</t>
  </si>
  <si>
    <t>sac:TotalAmount no tiene el valor correcto cuando sac:AdditionalMonetaryTotal/cbc:ID es 2001</t>
  </si>
  <si>
    <t>2800</t>
  </si>
  <si>
    <t>El dato ingresado en el tipo de documento de identidad del receptor no esta permitido.</t>
  </si>
  <si>
    <t>2801</t>
  </si>
  <si>
    <t>El DNI ingresado no cumple con el estandar.</t>
  </si>
  <si>
    <t>2802</t>
  </si>
  <si>
    <t>El dato ingresado como numero de documento de identidad del receptor no cumple con el formato establecido</t>
  </si>
  <si>
    <t>2803</t>
  </si>
  <si>
    <t>ID - No cumple con el formato UUID</t>
  </si>
  <si>
    <t>2804</t>
  </si>
  <si>
    <t>La fecha de recepcion del comprobante por OSE, no debe de ser mayor a la fecha de recepcion de SUNAT</t>
  </si>
  <si>
    <t>2805</t>
  </si>
  <si>
    <t>El XML no contiene el tag IssueTime</t>
  </si>
  <si>
    <t>2806</t>
  </si>
  <si>
    <t>IssueTime - El dato ingresado  no cumple con el patrón hh:mm:ss.sssss</t>
  </si>
  <si>
    <t>2807</t>
  </si>
  <si>
    <t>El XML no contiene el tag ResponseDate</t>
  </si>
  <si>
    <t>2808</t>
  </si>
  <si>
    <t>ResponseDate - El dato ingresado  no cumple con el patrón YYYY-MM-DD</t>
  </si>
  <si>
    <t>2809</t>
  </si>
  <si>
    <t>La fecha de recepcion del comprobante por OSE, no debe de ser mayor a la fecha de comprobacion del OSE</t>
  </si>
  <si>
    <t>2810</t>
  </si>
  <si>
    <t>La fecha de comprobacion del comprobante en OSE no puede ser mayor a la fecha de recepcion en SUNAT</t>
  </si>
  <si>
    <t>2811</t>
  </si>
  <si>
    <t>El XML no contiene el tag ResponseTime</t>
  </si>
  <si>
    <t>2812</t>
  </si>
  <si>
    <t>ResponseTime - El dato ingresado  no cumple con el patrón hh:mm:ss.sssss</t>
  </si>
  <si>
    <t>2813</t>
  </si>
  <si>
    <t>El XML no contiene el tag o no existe información del Número de documento de identificación del que envía el CPE (emisor o PSE)</t>
  </si>
  <si>
    <t>2814</t>
  </si>
  <si>
    <t>El valor ingresado como Número de documento de identificación del que envía el CPE (emisor o PSE) es incorrecto</t>
  </si>
  <si>
    <t>2816</t>
  </si>
  <si>
    <t>El XML no contiene el atributo schemeID o no existe información del Tipo de documento de identidad del que envía el CPE (emisor o PSE)</t>
  </si>
  <si>
    <t>2817</t>
  </si>
  <si>
    <t>El valor ingresado como Tipo de documento de identidad del que envía el CPE (emisor o PSE) es incorrecto</t>
  </si>
  <si>
    <t>2818</t>
  </si>
  <si>
    <t>El XML no contiene el atributo schemeAgencyName o no existe información del Tipo de documento de identidad del que envía el CPE (emisor o PSE)</t>
  </si>
  <si>
    <t>2819</t>
  </si>
  <si>
    <t>El valor ingresado en el atributo schemeAgencyName del Tipo de documento de identidad del que envía el CPE (emisor o PSE) es incorrecto</t>
  </si>
  <si>
    <t>2820</t>
  </si>
  <si>
    <t>El XML no contiene el atributo schemeURI o no existe información del Tipo de documento de identidad del que envía el CPE (emisor o PSE)</t>
  </si>
  <si>
    <t>2821</t>
  </si>
  <si>
    <t>El valor ingresado en el atributo schemeURI del Tipo de documento de identidad del que envía el CPE (emisor o PSE) es incorrecto</t>
  </si>
  <si>
    <t>2822</t>
  </si>
  <si>
    <t>El XML no contiene el tag o no existe información del Número de documento de identificación del OSE</t>
  </si>
  <si>
    <t>2823</t>
  </si>
  <si>
    <t>El valor ingresado como Número de documento de identificación del OSE es incorrecto</t>
  </si>
  <si>
    <t>2824</t>
  </si>
  <si>
    <t>El certificado digital con el que se firma el CDR OSE no corresponde con el RUC del OSE informado</t>
  </si>
  <si>
    <t>2825</t>
  </si>
  <si>
    <t>El Número de documento de identificación del OSE informado no esta registrado en el padron.</t>
  </si>
  <si>
    <t>2826</t>
  </si>
  <si>
    <t>El XML no contiene el atributo schemeID o no existe información del Tipo de documento de identidad del OSE</t>
  </si>
  <si>
    <t>2827</t>
  </si>
  <si>
    <t>El valor ingresado como Tipo de documento de identidad del OSE es incorrecto</t>
  </si>
  <si>
    <t>2828</t>
  </si>
  <si>
    <t>El XML no contiene el atributo schemeAgencyName o no existe información del Tipo de documento de identidad del OSE</t>
  </si>
  <si>
    <t>2829</t>
  </si>
  <si>
    <t>El valor ingresado en el atributo schemeAgencyName del Tipo de documento de identidad del OSE es incorrecto</t>
  </si>
  <si>
    <t>2830</t>
  </si>
  <si>
    <t>El XML no contiene el atributo schemeURI o no existe información del Tipo de documento de identidad del OSE</t>
  </si>
  <si>
    <t>2831</t>
  </si>
  <si>
    <t>El valor ingresado en el atributo schemeURI del Tipo de documento de identidad del OSE es incorrecto</t>
  </si>
  <si>
    <t>2832</t>
  </si>
  <si>
    <t>El XML no contiene el tag o no existe información del Código de Respuesta</t>
  </si>
  <si>
    <t>2833</t>
  </si>
  <si>
    <t>El valor ingresado como Código de Respuesta es incorrecto</t>
  </si>
  <si>
    <t>2834</t>
  </si>
  <si>
    <t>El XML no contiene el atributo listAgencyName o no existe información del Código de Respuesta</t>
  </si>
  <si>
    <t>2835</t>
  </si>
  <si>
    <t>El valor ingresado en el atributo listAgencyName del Código de Respuesta es incorrecto</t>
  </si>
  <si>
    <t>2836</t>
  </si>
  <si>
    <t>El XML no contiene el tag o no existe información de la Descripción de la Respuesta</t>
  </si>
  <si>
    <t>2837</t>
  </si>
  <si>
    <t>El valor ingresado como Descripción de la Respuesta es incorrecto</t>
  </si>
  <si>
    <t>2838</t>
  </si>
  <si>
    <t>El valor ingresado como Código de observación es incorrecto</t>
  </si>
  <si>
    <t>2839</t>
  </si>
  <si>
    <t>El XML no contiene el atributo listURI o no existe información del Código de observación</t>
  </si>
  <si>
    <t>2840</t>
  </si>
  <si>
    <t>El valor ingresado en el atributo listURI del Código de observación es incorrecto</t>
  </si>
  <si>
    <t>2841</t>
  </si>
  <si>
    <t>El XML no contiene el tag o no existe información de la Descripción de la observación</t>
  </si>
  <si>
    <t>2842</t>
  </si>
  <si>
    <t>El valor ingresado como Descripción de la observación es incorrecto</t>
  </si>
  <si>
    <t>2843</t>
  </si>
  <si>
    <t>Se ha encontrado mas de una Descripción de la observación, tag cac:Response/cac:Status/cbc:StatusReason</t>
  </si>
  <si>
    <t>2844</t>
  </si>
  <si>
    <t>No se encontro el tag cbc:StatusReasonCode cuando ingresó la Descripción de la observación</t>
  </si>
  <si>
    <t>2845</t>
  </si>
  <si>
    <t>El XML contiene mas de un elemento cac:DocumentReference</t>
  </si>
  <si>
    <t>2846</t>
  </si>
  <si>
    <t>El XML no contiene informacion en el tag cac:DocumentReference/cbc:ID</t>
  </si>
  <si>
    <t>2848</t>
  </si>
  <si>
    <t>El valor ingresado como Serie y número del comprobante no corresponde con el del comprobante</t>
  </si>
  <si>
    <t>2849</t>
  </si>
  <si>
    <t>El XML no contiene el tag o no existe información de la Fecha de emisión del comprobante</t>
  </si>
  <si>
    <t>2851</t>
  </si>
  <si>
    <t>El valor ingresado como Fecha de emisión del comprobante no corresponde con el del comprobante</t>
  </si>
  <si>
    <t>2852</t>
  </si>
  <si>
    <t>El XML no contiene el tag o no existe información de la Hora de emisión del comprobante</t>
  </si>
  <si>
    <t>2853</t>
  </si>
  <si>
    <t>El valor ingresado como Hora de emisión del comprobante no cumple con el patrón hh:mm:ss.sssss</t>
  </si>
  <si>
    <t>2854</t>
  </si>
  <si>
    <t>El valor ingresado como Hora de emisión del comprobante no corresponde con el del comprobante</t>
  </si>
  <si>
    <t>2855</t>
  </si>
  <si>
    <t>El XML no contiene el tag o no existe información del Tipo de comprobante</t>
  </si>
  <si>
    <t>2856</t>
  </si>
  <si>
    <t>El valor ingresado como Tipo de comprobante es incorrecto</t>
  </si>
  <si>
    <t>2857</t>
  </si>
  <si>
    <t>El valor ingresado como Tipo de comprobante no corresponde con el del comprobante</t>
  </si>
  <si>
    <t>2858</t>
  </si>
  <si>
    <t>El XML no contiene el tag o no existe información del Hash del comprobante</t>
  </si>
  <si>
    <t>2859</t>
  </si>
  <si>
    <t>El valor ingresado como Hash del comprobante es incorrecto</t>
  </si>
  <si>
    <t>2860</t>
  </si>
  <si>
    <t>El valor ingresado como Hash del comprobante no corresponde con el del comprobante</t>
  </si>
  <si>
    <t>2861</t>
  </si>
  <si>
    <t>El XML no contiene el tag o no existe información del Número de documento de identificación del emisor</t>
  </si>
  <si>
    <t>2862</t>
  </si>
  <si>
    <t>El valor ingresado como Número de documento de identificación del emisor es incorrecto</t>
  </si>
  <si>
    <t>2863</t>
  </si>
  <si>
    <t>El valor ingresado como Número de documento de identificación del emisor no corresponde con el del comprobante</t>
  </si>
  <si>
    <t>2864</t>
  </si>
  <si>
    <t>El XML no contiene el atributo o no existe información del Tipo de documento de identidad del emisor</t>
  </si>
  <si>
    <t>2865</t>
  </si>
  <si>
    <t>El valor ingresado como Tipo de documento de identidad del emisor es incorrecto</t>
  </si>
  <si>
    <t>2866</t>
  </si>
  <si>
    <t>El valor ingresado como Tipo de documento de identidad del emisor no corresponde con el del comprobante</t>
  </si>
  <si>
    <t>2867</t>
  </si>
  <si>
    <t>El XML no contiene el tag o no existe información del Número de documento de identificación del receptor</t>
  </si>
  <si>
    <t>2868</t>
  </si>
  <si>
    <t>El valor ingresado como Número de documento de identificación del receptor es incorrecto</t>
  </si>
  <si>
    <t>2869</t>
  </si>
  <si>
    <t>El valor ingresado como Número de documento de identificación del receptor no corresponde con el del comprobante</t>
  </si>
  <si>
    <t>2870</t>
  </si>
  <si>
    <t>El XML no contiene el atributo o no existe información del Tipo de documento de identidad del receptor</t>
  </si>
  <si>
    <t>2871</t>
  </si>
  <si>
    <t>El valor ingresado como Tipo de documento de identidad del receptor es incorrecto</t>
  </si>
  <si>
    <t>2872</t>
  </si>
  <si>
    <t>El valor ingresado como Tipo de documento de identidad del receptor no corresponde con el del comprobante</t>
  </si>
  <si>
    <t>2873</t>
  </si>
  <si>
    <t>El PSE informado no se encuentra vinculado con el  emisor del comprobante en la fecha de comprobación</t>
  </si>
  <si>
    <t>2874</t>
  </si>
  <si>
    <t>El Número de documento de identificación del OSE informado no se encuentra vinculado al emisor del comprobante en la fecha de recepcion en SUNAT</t>
  </si>
  <si>
    <t>2875</t>
  </si>
  <si>
    <t>ID - El dato ingresado no cumple con el formato R#-fecha-correlativo</t>
  </si>
  <si>
    <t>2876</t>
  </si>
  <si>
    <t>La fecha de recepción del comprobante por OSE debe ser mayor a la fecha de emisión del comprobante enviado</t>
  </si>
  <si>
    <t>Es obligatorio ingresar el peso bruto total de la guía</t>
  </si>
  <si>
    <t>Es obligatorio indicar la unidad de medida del Peso Total de la guía</t>
  </si>
  <si>
    <t>Es obligatorio indicar la unidad de medida del ítem</t>
  </si>
  <si>
    <t>2884</t>
  </si>
  <si>
    <t>Los comprobantes modificados por la nota deben ser del mismo tipo</t>
  </si>
  <si>
    <t>2885</t>
  </si>
  <si>
    <t>La fecha de emisión de la nota debe ser mayor o igual a la fecha de emisión de los documentos que modifica</t>
  </si>
  <si>
    <t>2891</t>
  </si>
  <si>
    <t>La tasa de percepción no existe en el catálogo</t>
  </si>
  <si>
    <t>2892</t>
  </si>
  <si>
    <t>El valor del tag no cumple con el formato establecido</t>
  </si>
  <si>
    <t>2893</t>
  </si>
  <si>
    <t>El valor no cumple con el formato establecido o es menor o igual a cero (0)</t>
  </si>
  <si>
    <t>2894</t>
  </si>
  <si>
    <t>2895</t>
  </si>
  <si>
    <t>2896</t>
  </si>
  <si>
    <t>El código ingresado como estado del ítem no existe en el catálogo</t>
  </si>
  <si>
    <t>2897</t>
  </si>
  <si>
    <t>2898</t>
  </si>
  <si>
    <t>Para los tipos de seguro 1 y 2, debe consignar el numero de poliza, la fecha de cobertura y el monto asegurado</t>
  </si>
  <si>
    <t>2899</t>
  </si>
  <si>
    <t>Para el tipo de seguro 3 - Otros debe consignar el numero de poliza</t>
  </si>
  <si>
    <t>2900</t>
  </si>
  <si>
    <t>El Número de comprobante de fin de rango debe ser igual o mayor al de inicio</t>
  </si>
  <si>
    <t>2901</t>
  </si>
  <si>
    <t>El nombre comercial del emisor no cumple con el formato establecido</t>
  </si>
  <si>
    <t>2902</t>
  </si>
  <si>
    <t>La urbanización del domicilio fiscal del emisor no cumple con el formato establecido</t>
  </si>
  <si>
    <t>2903</t>
  </si>
  <si>
    <t>La provincia del domicilio fiscal del emisor no cumple con el formato establecido</t>
  </si>
  <si>
    <t>2904</t>
  </si>
  <si>
    <t>El departamento del domicilio fiscal del emisor no cumple con el formato establecido</t>
  </si>
  <si>
    <t>2905</t>
  </si>
  <si>
    <t>El distrito del domicilio fiscal del emisor no cumple con el formato establecido</t>
  </si>
  <si>
    <t>2906</t>
  </si>
  <si>
    <t>El nombre comercial del proveedor no cumple con el formato establecido</t>
  </si>
  <si>
    <t>2907</t>
  </si>
  <si>
    <t>La urbanización del domicilio fiscal del proveedor no cumple con el formato establecido</t>
  </si>
  <si>
    <t>2908</t>
  </si>
  <si>
    <t>La provincia del domicilio fiscal del proveedor no cumple con el formato establecido</t>
  </si>
  <si>
    <t>2909</t>
  </si>
  <si>
    <t>El departamento del domicilio fiscal del proveedor no cumple con el formato establecido</t>
  </si>
  <si>
    <t>2910</t>
  </si>
  <si>
    <t>El distrito del domicilio fiscal del proveedor no cumple con el formato establecido</t>
  </si>
  <si>
    <t>2911</t>
  </si>
  <si>
    <t>El nombre comercial del cliente no cumple con el formato establecido</t>
  </si>
  <si>
    <t>2912</t>
  </si>
  <si>
    <t>La urbanización del domicilio fiscal del cliente no cumple con el formato establecido</t>
  </si>
  <si>
    <t>2913</t>
  </si>
  <si>
    <t>La provincia del domicilio fiscal del cliente no cumple con el formato establecido</t>
  </si>
  <si>
    <t>2914</t>
  </si>
  <si>
    <t>El departamento del domicilio fiscal del cliente no cumple con el formato establecido</t>
  </si>
  <si>
    <t>2915</t>
  </si>
  <si>
    <t>El distrito del domicilio fiscal del cliente no cumple con el formato establecido</t>
  </si>
  <si>
    <t>2916</t>
  </si>
  <si>
    <t>La dirección completa y detallada del domicilio fiscal del emisor no cumple con el formato establecido</t>
  </si>
  <si>
    <t>2917</t>
  </si>
  <si>
    <t>Debe corresponder a algún valor válido establecido en el catálogo 13</t>
  </si>
  <si>
    <t>2918</t>
  </si>
  <si>
    <t>La dirección completa y detallada del domicilio fiscal del proveedor no cumple con el formato establecido</t>
  </si>
  <si>
    <t>2919</t>
  </si>
  <si>
    <t>La dirección completa y detallada del domicilio fiscal del cliente no cumple con el formato establecido</t>
  </si>
  <si>
    <t>2920</t>
  </si>
  <si>
    <t>2921</t>
  </si>
  <si>
    <t>Es obligatorio informar el detalle el tipo de servicio público</t>
  </si>
  <si>
    <t>2922</t>
  </si>
  <si>
    <t>El valor del Tag no se encuentra en el catálogo</t>
  </si>
  <si>
    <t>2923</t>
  </si>
  <si>
    <t>Es obligatorio informar el código de servicios de telecomunicaciones para el tipo servicio público informado</t>
  </si>
  <si>
    <t>2924</t>
  </si>
  <si>
    <t>Sólo enviar información para el tipos de servicios públicos 5</t>
  </si>
  <si>
    <t>2925</t>
  </si>
  <si>
    <t>2926</t>
  </si>
  <si>
    <t>Es obligatorio informar el número del suministro para el tipo servicio público informado</t>
  </si>
  <si>
    <t>2927</t>
  </si>
  <si>
    <t>Comprobante de Servicio Publico no se encuenta registrado en sunat</t>
  </si>
  <si>
    <t>2928</t>
  </si>
  <si>
    <t>El valor del Tag no cumple con el tipo y longitud esperada</t>
  </si>
  <si>
    <t>2929</t>
  </si>
  <si>
    <t>Debe remitir información del número de teléfono para el código de servicios de telecomunicaciones informado</t>
  </si>
  <si>
    <t>2930</t>
  </si>
  <si>
    <t>El tipo de documento modificado por la Nota de debito debe ser Servicio Publico electronico</t>
  </si>
  <si>
    <t>2931</t>
  </si>
  <si>
    <t>2932</t>
  </si>
  <si>
    <t>Es obligatorio informar el código de tarifa contratada para el tipo servicio público informado</t>
  </si>
  <si>
    <t>2933</t>
  </si>
  <si>
    <t>Sólo enviar información para el tipos de servicios públicos 1 o 2</t>
  </si>
  <si>
    <t>2934</t>
  </si>
  <si>
    <t>2935</t>
  </si>
  <si>
    <t>Es obligatorio informar la unidad de medida</t>
  </si>
  <si>
    <t>2936</t>
  </si>
  <si>
    <t>El dato ingresado como unidad de medida no corresponde al valor esperado</t>
  </si>
  <si>
    <t>2937</t>
  </si>
  <si>
    <t>Es obligatorio informar el detalle de la potencia contratada</t>
  </si>
  <si>
    <t>2938</t>
  </si>
  <si>
    <t>Sólo enviar información para el tipo de servicios público 1</t>
  </si>
  <si>
    <t>2939</t>
  </si>
  <si>
    <t>2940</t>
  </si>
  <si>
    <t xml:space="preserve">Es obligatorio informar el tipo de medidor </t>
  </si>
  <si>
    <t>2941</t>
  </si>
  <si>
    <t>2942</t>
  </si>
  <si>
    <t>2943</t>
  </si>
  <si>
    <t>Es obligatorio informar el número del medidor</t>
  </si>
  <si>
    <t>2944</t>
  </si>
  <si>
    <t>2945</t>
  </si>
  <si>
    <t>2946</t>
  </si>
  <si>
    <t>Debe informar el consumo del periodo</t>
  </si>
  <si>
    <t>2947</t>
  </si>
  <si>
    <t>No existe el detalle del número del medidor</t>
  </si>
  <si>
    <t>2948</t>
  </si>
  <si>
    <t>2949</t>
  </si>
  <si>
    <t>El impuesto ICBPER no se encuentra vigente</t>
  </si>
  <si>
    <t>2950</t>
  </si>
  <si>
    <t>El comprobante ha sido presentado fuera de plazo</t>
  </si>
  <si>
    <t>2951</t>
  </si>
  <si>
    <t>2952</t>
  </si>
  <si>
    <t>2953</t>
  </si>
  <si>
    <t>2954</t>
  </si>
  <si>
    <t>El valor ingresado como codigo de motivo de cargo/descuento por linea no es valido (catalogo 53)</t>
  </si>
  <si>
    <t>2955</t>
  </si>
  <si>
    <t>El formato ingresado en el tag cac:InvoiceLine/cac:Allowancecharge/cbc:Amount no cumple con el formato establecido</t>
  </si>
  <si>
    <t>2956</t>
  </si>
  <si>
    <t>El Monto total de impuestos es obligatorio</t>
  </si>
  <si>
    <t>2957</t>
  </si>
  <si>
    <t>El comprobante no puede ser dado de baja por exceder el plazo desde su fecha de emision</t>
  </si>
  <si>
    <t>2958</t>
  </si>
  <si>
    <t>El comprobante no puede ser dado de baja por exceder el plazo desde su fecha de recepcion</t>
  </si>
  <si>
    <t>2959</t>
  </si>
  <si>
    <t>El valor del atributo del tag cac:TaxTotal/cac:TaxSubtotal/cac:TaxCategory/cbc:ID/ no corresponde al esperado.</t>
  </si>
  <si>
    <t>2960</t>
  </si>
  <si>
    <t>El valor del tag no corresponde al esperado.</t>
  </si>
  <si>
    <t>2961</t>
  </si>
  <si>
    <t>El valor del tag codigo de tributo internacional no corresponde al esperado.</t>
  </si>
  <si>
    <t>2962</t>
  </si>
  <si>
    <t>El valor del atributo del tag cac:TaxTotal/cac:TaxSubtotal/cac:TaxCategory/cac:TaxScheme/cbc:ID no corresponde al esperado.</t>
  </si>
  <si>
    <t>2963</t>
  </si>
  <si>
    <t>2964</t>
  </si>
  <si>
    <t>El valor del tag nombre del tributo no corresponde al esperado.</t>
  </si>
  <si>
    <t>2965</t>
  </si>
  <si>
    <t>La sumatoria de otros tributos no corresponde al total</t>
  </si>
  <si>
    <t>2966</t>
  </si>
  <si>
    <t>Sólo se puede indicar el códigos 55 del catálogo 53</t>
  </si>
  <si>
    <t>2967</t>
  </si>
  <si>
    <t>Los importes de otros cargos a nivel de línea no corresponden a la suma total.</t>
  </si>
  <si>
    <t>2968</t>
  </si>
  <si>
    <t xml:space="preserve">El dato ingresado en cac:AllowanceCharge/cbc:Amount no cumple con el formato establecido. </t>
  </si>
  <si>
    <t>2969</t>
  </si>
  <si>
    <t>2970</t>
  </si>
  <si>
    <t>El dato ingresado en sac:SUNATTotalPaidBeforeRounding debe ser numérico mayor a cero</t>
  </si>
  <si>
    <t>2971</t>
  </si>
  <si>
    <t>Si existe tag sac:SUNATTotalPaidBeforeRounding debe existir tag cbc:PayableRoundingAmount</t>
  </si>
  <si>
    <t>2972</t>
  </si>
  <si>
    <t>Importe total pagado antes de redondeo debe ser igual a la suma de los importes pagados por cada documento relacionado</t>
  </si>
  <si>
    <t>2973</t>
  </si>
  <si>
    <t>El valor de la moneda del Importe total pagado antes de redondeo debe ser PEN</t>
  </si>
  <si>
    <t>2974</t>
  </si>
  <si>
    <t>El dato ingresado en cbc:PayableRoundingAmount debe ser numérico valido</t>
  </si>
  <si>
    <t>2975</t>
  </si>
  <si>
    <t>Si existe tag cbc:PayableRoundingAmount debe existir tag sac:SUNATTotalPaidBeforeRounding</t>
  </si>
  <si>
    <t>2976</t>
  </si>
  <si>
    <t>El valor para el ajuste por redondeo no es válido</t>
  </si>
  <si>
    <t>2977</t>
  </si>
  <si>
    <t>El valor de la moneda del Ajuste por redondeo debe ser PEN</t>
  </si>
  <si>
    <t>2978</t>
  </si>
  <si>
    <t>Importe total pagado debe ser igual a la suma del Importe total pagado antes de redondeo mas el Ajuste por redondeo</t>
  </si>
  <si>
    <t>2979</t>
  </si>
  <si>
    <t>El dato ingresado en sac:SUNATTotalCashedBeforeRounding debe ser numérico mayor a cero</t>
  </si>
  <si>
    <t>2980</t>
  </si>
  <si>
    <t>Si existe tag sac:SUNATTotalCashedBeforeRounding debe existir tag cbc:PayableRoundingAmount</t>
  </si>
  <si>
    <t>2981</t>
  </si>
  <si>
    <t>Importe total cobrado antes de redondeo debe ser igual a la suma de los importes cobrados por cada documento relacionado</t>
  </si>
  <si>
    <t>2982</t>
  </si>
  <si>
    <t>El valor de la moneda del Importe total cobrado antes de redondeo debe ser PEN</t>
  </si>
  <si>
    <t>2983</t>
  </si>
  <si>
    <t>Si existe tag cbc:PayableRoundingAmount debe existir tag sac:SUNATTotalCashedBeforeRounding</t>
  </si>
  <si>
    <t>2984</t>
  </si>
  <si>
    <t>Importe total cobrado debe ser igual a la suma del Importe total cobrado antes de redondeo mas el Ajuste por redondeo</t>
  </si>
  <si>
    <t>2985</t>
  </si>
  <si>
    <t>Solo se acepta comprobantes con fecha de emisión hasta el 28/02/2014 si la tasa del comprobante de retencion 6%</t>
  </si>
  <si>
    <t>2986</t>
  </si>
  <si>
    <t>Solo se acepta informacion de percepcion para nuevas boletas.</t>
  </si>
  <si>
    <t>2987</t>
  </si>
  <si>
    <t>El comprobante ya fue informado y se encuentra anulado o rechazado.</t>
  </si>
  <si>
    <t>2988</t>
  </si>
  <si>
    <t>El comprobante (fisico) a la que hace referencia la nota, no se encuentra autorizado.</t>
  </si>
  <si>
    <t>2989</t>
  </si>
  <si>
    <t>El comprobante (electronico) a la que hace referencia la nota, no se encuentra informado.</t>
  </si>
  <si>
    <t>2990</t>
  </si>
  <si>
    <t>El comprobante (electronico) a la que hace referencia la nota, se encuentra anulado o rechazada.</t>
  </si>
  <si>
    <t>2991</t>
  </si>
  <si>
    <t>El tipo de documento modificado por la Nota de credito debe ser comprobante de servicio publico</t>
  </si>
  <si>
    <t>2992</t>
  </si>
  <si>
    <t>El XML no contiene el tag de la tasa del tributo de la línea</t>
  </si>
  <si>
    <t>2993</t>
  </si>
  <si>
    <t>El factor de afectación de IGV por linea debe ser diferente a 0.00.</t>
  </si>
  <si>
    <t>2994</t>
  </si>
  <si>
    <t>La categoría de impuesto de la línea no corresponde al valor esperado (catalogo 5)</t>
  </si>
  <si>
    <t>2995</t>
  </si>
  <si>
    <t>El XML no contiene el tag o no existe información del código internacional de tributo de la línea</t>
  </si>
  <si>
    <t>2996</t>
  </si>
  <si>
    <t>El XML no contiene el tag o no existe información del nombre de tributo de la línea</t>
  </si>
  <si>
    <t>2997</t>
  </si>
  <si>
    <t>El XML no contiene el tag o no existe información del código de tributo de la línea</t>
  </si>
  <si>
    <t>2998</t>
  </si>
  <si>
    <t>El código de tributo de la línea no corresponde al valor esperado</t>
  </si>
  <si>
    <t>2999</t>
  </si>
  <si>
    <t>El dato ingresado en el total valor de venta globales no cumple con el formato establecido</t>
  </si>
  <si>
    <t>3000</t>
  </si>
  <si>
    <t xml:space="preserve">El monto total del impuestos sobre el valor de venta de operaciones gratuitas/inafectas/exoneradas debe ser igual a 0.00 </t>
  </si>
  <si>
    <t>El Código producto de SUNAT no puede ser vacio si es de Exportacion</t>
  </si>
  <si>
    <t>El Código producto de SUNAT  no es válido</t>
  </si>
  <si>
    <t>El XML no contiene el tag o no existe información de total valor de venta globales</t>
  </si>
  <si>
    <t>El XML no contiene el tag o no existe información de la categoría de impuesto globales</t>
  </si>
  <si>
    <t>El XML no contiene el tag o no existe información del código de tributo en operaciones inafectas/exoneradas</t>
  </si>
  <si>
    <t>El dato ingresado en descripcion de leyenda no cumple con el formato establecido.</t>
  </si>
  <si>
    <t>3007</t>
  </si>
  <si>
    <t>El dato ingresado como codigo de tributo global no corresponde al valor esperado.</t>
  </si>
  <si>
    <t>3008</t>
  </si>
  <si>
    <t>La sumatoria del total valor de venta - Otros tributos de pago de línea no corresponden al total</t>
  </si>
  <si>
    <t>3009</t>
  </si>
  <si>
    <t>La sumatoria del total del importe del tributo Otros tributos de línea no corresponden al total</t>
  </si>
  <si>
    <t>3010</t>
  </si>
  <si>
    <t>El XML no contiene el tag o no existe información de total valor de venta en operaciones gravadas</t>
  </si>
  <si>
    <t>3011</t>
  </si>
  <si>
    <t>El dato ingresado en el total valor de venta en operaciones gravadas  no cumple con el formato establecido</t>
  </si>
  <si>
    <t>3012</t>
  </si>
  <si>
    <t>El dato ingresado en el importe del tributo en operaciones gravadas  no cumple con el formato establecido</t>
  </si>
  <si>
    <t>3013</t>
  </si>
  <si>
    <t>El XML no contiene el tag o no existe información de la categoría de impuesto en operaciones gravadas</t>
  </si>
  <si>
    <t>3014</t>
  </si>
  <si>
    <t>El codigo de leyenda no debe repetirse en el comprobante.</t>
  </si>
  <si>
    <t>3015</t>
  </si>
  <si>
    <t>El XML no contiene el tag o no existe información del código de tributo en operaciones gravadas</t>
  </si>
  <si>
    <t>3016</t>
  </si>
  <si>
    <t>El dato ingresado en base monto por cargo/descuento globales no cumple con el formato establecido</t>
  </si>
  <si>
    <t>3017</t>
  </si>
  <si>
    <t>El XML no contiene el tag o no existe información del nombre de tributo en operaciones gravadas</t>
  </si>
  <si>
    <t>3018</t>
  </si>
  <si>
    <t>El XML no contiene el tag o no existe información del código internacional del tributo en operaciones gravadas</t>
  </si>
  <si>
    <t>3019</t>
  </si>
  <si>
    <t>El dato ingresado en total precio de venta no cumple con el formato establecido</t>
  </si>
  <si>
    <t>3020</t>
  </si>
  <si>
    <t>El dato ingresado en el monto total de impuestos no cumple con el formato establecido</t>
  </si>
  <si>
    <t>3021</t>
  </si>
  <si>
    <t>El dato ingresado en el monto total de impuestos por línea no cumple con el formato establecido</t>
  </si>
  <si>
    <t>3022</t>
  </si>
  <si>
    <t>El importe total de impuestos por línea no coincide con la sumatoria de los impuestos por línea.</t>
  </si>
  <si>
    <t>3023</t>
  </si>
  <si>
    <t xml:space="preserve">El tipo de documento no se encuentra en el catálogo </t>
  </si>
  <si>
    <t>3024</t>
  </si>
  <si>
    <t>El tag cac:TaxTotal no debe repetirse a nivel de totales</t>
  </si>
  <si>
    <t>3025</t>
  </si>
  <si>
    <t>El dato ingresado en factor de cargo o descuento global no cumple con el formato establecido.</t>
  </si>
  <si>
    <t>3026</t>
  </si>
  <si>
    <t>El tag cac:TaxTotal no debe repetirse a nivel de Item</t>
  </si>
  <si>
    <t>3027</t>
  </si>
  <si>
    <t>El valor del atributo no se encuentra en el catálogo</t>
  </si>
  <si>
    <t>3028</t>
  </si>
  <si>
    <t>El dato ingresado en código de SW de facturación no cumple con el formato establecido.</t>
  </si>
  <si>
    <t>3029</t>
  </si>
  <si>
    <t>El XML no contiene el tag o no existe información del tipo de documento de identidad del emisor</t>
  </si>
  <si>
    <t>3030</t>
  </si>
  <si>
    <t>El XML no contiene el tag o no existe información del código de local anexo del emisor</t>
  </si>
  <si>
    <t>3031</t>
  </si>
  <si>
    <t>El dato ingresado en TaxableAmount de la linea no cumple con el formato establecido</t>
  </si>
  <si>
    <t>3032</t>
  </si>
  <si>
    <t>El XML no contiene el tag o no existe información de la categoría de impuesto de la línea</t>
  </si>
  <si>
    <t>3033</t>
  </si>
  <si>
    <t>El codigo de bien o servicio sujeto a detracción no existe en el listado.</t>
  </si>
  <si>
    <t>3034</t>
  </si>
  <si>
    <t>El xml no contiene el tag o no existe información en el nro de cuenta de detracción</t>
  </si>
  <si>
    <t>3035</t>
  </si>
  <si>
    <t>El xml no contiene el tag o no existe información en el monto de detraccion</t>
  </si>
  <si>
    <t>3036</t>
  </si>
  <si>
    <t>El XML no contiene el tag o no existe información del nombre del tributo</t>
  </si>
  <si>
    <t>3037</t>
  </si>
  <si>
    <t>El dato ingresado en monto de detraccion no cumple con el formato establecido</t>
  </si>
  <si>
    <t>3038</t>
  </si>
  <si>
    <t>La sumatoria de los IGV (operaciones gravadas) de línea no corresponden al total</t>
  </si>
  <si>
    <t>3039</t>
  </si>
  <si>
    <t>La sumatoria del total valor de venta - operaciones gravadas de línea no corresponden al total</t>
  </si>
  <si>
    <t>3040</t>
  </si>
  <si>
    <t>La sumatoria del total valor de venta - Exportaciones de línea no corresponden al total</t>
  </si>
  <si>
    <t>3041</t>
  </si>
  <si>
    <t>La sumatoria del total valor de venta - operaciones inafectas de línea no corresponden al total</t>
  </si>
  <si>
    <t>3042</t>
  </si>
  <si>
    <t>La sumatoria del total valor de venta - operaciones exoneradas de línea no corresponden al total</t>
  </si>
  <si>
    <t>3043</t>
  </si>
  <si>
    <t>El XML no contiene el tag o no existe información de total valor de venta ISC e IVAP</t>
  </si>
  <si>
    <t>3044</t>
  </si>
  <si>
    <t>El dato ingresado en el total valor de venta ISC e IVAP no cumple con el formato establecido</t>
  </si>
  <si>
    <t>3045</t>
  </si>
  <si>
    <t>La sumatoria del total valor de venta - ISC de línea no corresponden al total</t>
  </si>
  <si>
    <t>3046</t>
  </si>
  <si>
    <t>La sumatoria del total valor de venta - IVAP de línea no corresponden al total</t>
  </si>
  <si>
    <t>3047</t>
  </si>
  <si>
    <t>El dato ingresado en el importe del tributo para ISC e IVAP no cumple con el formato establecido</t>
  </si>
  <si>
    <t>3048</t>
  </si>
  <si>
    <t>La sumatoria del total del importe del tributo ISC de línea no corresponden al total</t>
  </si>
  <si>
    <t>3049</t>
  </si>
  <si>
    <t>El importe del IVAP no corresponden al determinado por la información consignada.</t>
  </si>
  <si>
    <t>Afectación de IGV no corresponde al código de tributo de la linea.</t>
  </si>
  <si>
    <t>Nombre de tributo no corresponde al código de tributo de la linea.</t>
  </si>
  <si>
    <t>El factor de cargo/descuento por linea no cumple con el formato establecido.</t>
  </si>
  <si>
    <t>El Monto base de cargo/descuento por linea no cumple con el formato establecido.</t>
  </si>
  <si>
    <t>El XML no contiene el tag o no existe información de la categoría de impuesto en ISC o IVAP</t>
  </si>
  <si>
    <t>Si el código de tributo es 2000, la categoría del tributo debe ser S</t>
  </si>
  <si>
    <t>Si el código de tributo es 1016, la categoría del tributo debe ser S</t>
  </si>
  <si>
    <t>La sumatoria del total valor de venta - operaciones gratuitas de línea no corresponden al total</t>
  </si>
  <si>
    <t>El XML no contiene el tag o no existe información del código de tributo para ISC o IVAP</t>
  </si>
  <si>
    <t>El XML no contiene el tag o no existe información de código de tributo.</t>
  </si>
  <si>
    <t>El valor del tag código de tributo no corresponde al esperado.</t>
  </si>
  <si>
    <t>3061</t>
  </si>
  <si>
    <t>No se permite importe mayor a cero cuando el codigo de tributo es IVAP y el comprobante esta sujeta a IVAP</t>
  </si>
  <si>
    <t>3062</t>
  </si>
  <si>
    <t>La tasa o porcentaje de detracción no corresponde al valor esperado.</t>
  </si>
  <si>
    <t>3063</t>
  </si>
  <si>
    <t>El XML no contiene el tag de matricula de embarcación en Detracciones para recursos hidrobiologicos.</t>
  </si>
  <si>
    <t>El XML no contiene tag o no existe información del valor del concepto por linea.</t>
  </si>
  <si>
    <t>3065</t>
  </si>
  <si>
    <t>El XML no contiene tag de la fecha del concepto por linea.</t>
  </si>
  <si>
    <t>3066</t>
  </si>
  <si>
    <t>El XML contiene un codigo de tributo no valido para Servicios Publicos.</t>
  </si>
  <si>
    <t>3067</t>
  </si>
  <si>
    <t>El código de tributo no debe repetirse a nivel de item</t>
  </si>
  <si>
    <t>3068</t>
  </si>
  <si>
    <t>El código de tributo no debe repetirse a nivel de totales</t>
  </si>
  <si>
    <t>3069</t>
  </si>
  <si>
    <t>El xml contiene una linea con mas de un codigo de tributo repetitivo.</t>
  </si>
  <si>
    <t>3070</t>
  </si>
  <si>
    <t>EL codigo internacional del tributo por linea no corresponde al valor esperado por su Id.</t>
  </si>
  <si>
    <t>3071</t>
  </si>
  <si>
    <t>El dato ingresado como codigo de motivo de cargo/descuento global no es valido (catalogo nro 53)</t>
  </si>
  <si>
    <t>3072</t>
  </si>
  <si>
    <t>El XML no contiene el tag o no existe informacion de codigo de motivo de cargo/descuento global.</t>
  </si>
  <si>
    <t>3073</t>
  </si>
  <si>
    <t>El XML no contiene el tag o no existe informacion de codigo de motivo de cargo/descuento por item.</t>
  </si>
  <si>
    <t>3074</t>
  </si>
  <si>
    <t xml:space="preserve">El monto del cargo para el para FISE debe ser igual mayor a 0.00 </t>
  </si>
  <si>
    <t>3075</t>
  </si>
  <si>
    <t>La sumatoria de descuentos que afectan a BI por linea no corresponden al total</t>
  </si>
  <si>
    <t>3076</t>
  </si>
  <si>
    <t>La sumatoria de descuentos que no afectan a BI por linea no corresponden al total</t>
  </si>
  <si>
    <t>3077</t>
  </si>
  <si>
    <t>La sumatoria de cargos que afectan a BI por linea no corresponden al total</t>
  </si>
  <si>
    <t>3078</t>
  </si>
  <si>
    <t>La sumatoria de cargos que no afectan a BI por linea no corresponden al total</t>
  </si>
  <si>
    <t>3079</t>
  </si>
  <si>
    <t>La sumatoria de montos bases de los descuentos que afectan a BI por linea no corresponden al total</t>
  </si>
  <si>
    <t>3080</t>
  </si>
  <si>
    <t>La sumatoria de montos bases de los descuentos que no afectan a BI por linea no corresponden al total</t>
  </si>
  <si>
    <t>3081</t>
  </si>
  <si>
    <t>La sumatoria de montos bases de los cargos que afectan a BI por linea no corresponden al total</t>
  </si>
  <si>
    <t>3082</t>
  </si>
  <si>
    <t>La sumatoria de montos bases de los cargos que no afectan a BI por linea no corresponden al total</t>
  </si>
  <si>
    <t>3083</t>
  </si>
  <si>
    <t>El XML no contiene el tag o no existe información del total valor de venta.</t>
  </si>
  <si>
    <t>3084</t>
  </si>
  <si>
    <t>La sumatoria de valor de venta no corresponde a los importes consignados</t>
  </si>
  <si>
    <t>3085</t>
  </si>
  <si>
    <t>El XML no contiene el tag o no existe información del total precio de venta.</t>
  </si>
  <si>
    <t>3086</t>
  </si>
  <si>
    <t>La sumatoria consignados en descuentos globales no corresponden al total.</t>
  </si>
  <si>
    <t>3087</t>
  </si>
  <si>
    <t>La sumatoria consignados en cargos globales no corresponden al total</t>
  </si>
  <si>
    <t>3088</t>
  </si>
  <si>
    <t>El valor ingresado como moneda del comprobante no es valido (catalogo nro 02).</t>
  </si>
  <si>
    <t>3089</t>
  </si>
  <si>
    <t>El XML contiene mas de un tag como elemento de numero de documento del emisor</t>
  </si>
  <si>
    <t>3090</t>
  </si>
  <si>
    <t>El XML contiene mas de un tag como elemento de numero de documento del receptor.</t>
  </si>
  <si>
    <t>3091</t>
  </si>
  <si>
    <t>Si se tipo de operación es Venta Interna - Sujeta al FISE, debe ingresar cargo para FISE</t>
  </si>
  <si>
    <t>3092</t>
  </si>
  <si>
    <t>Para cargo/descuento FISE, debe ingresar monto base y debe ser mayor a 0.00</t>
  </si>
  <si>
    <t>3093</t>
  </si>
  <si>
    <t>Si operación es sujeta a percepción y la forma de pago es Contado, debe ingresar cargo para Percepción</t>
  </si>
  <si>
    <t>3094</t>
  </si>
  <si>
    <t>El comprobante más "código de operación del ítem" no debe repetirse</t>
  </si>
  <si>
    <t>3095</t>
  </si>
  <si>
    <t>El comprobante no debe ser emitido y editado en el mismo envío</t>
  </si>
  <si>
    <t>3096</t>
  </si>
  <si>
    <t>El comprobante no debe ser editado y anulado en el mismo envío</t>
  </si>
  <si>
    <t>3097</t>
  </si>
  <si>
    <t>El emisor a la fecha no se encuentra registrado ó habilitado en el Registro de exportadores de servicios SUNAT</t>
  </si>
  <si>
    <t>3098</t>
  </si>
  <si>
    <t>El XML no contiene el tag o no existe información del pais de uso, exploración o aprovechamiento</t>
  </si>
  <si>
    <t>3099</t>
  </si>
  <si>
    <t>El dato ingresado como pais de uso, exploracion o aprovechamiento es incorrecto.</t>
  </si>
  <si>
    <t>3100</t>
  </si>
  <si>
    <t>El dato ingresado como codigo de tributo por linea es invalido para tipo de operación.</t>
  </si>
  <si>
    <t>3101</t>
  </si>
  <si>
    <t>El factor de afectación de IGV por linea debe ser igual a 0.00 para Exoneradas, Inafectas, Exportación, Gratuitas de exoneradas o Gratuitas de inafectas.</t>
  </si>
  <si>
    <t>3102</t>
  </si>
  <si>
    <t>El dato ingresado como factor de afectacion por linea no cumple con el formato establecido.</t>
  </si>
  <si>
    <t>3103</t>
  </si>
  <si>
    <t>El producto del factor y monto base de la afectación del IGV/IVAP no corresponde al monto de afectacion de linea.</t>
  </si>
  <si>
    <t>3104</t>
  </si>
  <si>
    <t>El factor de afectación de ISC por linea debe ser diferente a 0.00.</t>
  </si>
  <si>
    <t>3105</t>
  </si>
  <si>
    <t>El XML debe contener al menos un tributo por linea de afectacion por IGV</t>
  </si>
  <si>
    <t>3106</t>
  </si>
  <si>
    <t>El XML contiene mas de un tributo por linea (Gravado, Exonerado, Inafecto, Exportación)</t>
  </si>
  <si>
    <t>3107</t>
  </si>
  <si>
    <t>El dato ingresado como codigo de tributo global es invalido para tipo de operación.</t>
  </si>
  <si>
    <t>3108</t>
  </si>
  <si>
    <t>El producto del factor y monto base de la afectación del ISC no corresponde al monto de afectacion de linea.</t>
  </si>
  <si>
    <t>3109</t>
  </si>
  <si>
    <t>El producto del factor y monto base de la afectación de otros tributos no corresponde al monto de afectacion de linea.</t>
  </si>
  <si>
    <t>3110</t>
  </si>
  <si>
    <t>El monto de afectacion de IGV por linea debe ser igual a 0.00 para Exoneradas, Inafectas, Exportación, Gratuitas de exoneradas o Gratuitas de inafectas.</t>
  </si>
  <si>
    <t>3111</t>
  </si>
  <si>
    <t>El monto de afectación de IGV por linea debe ser diferente a 0.00.</t>
  </si>
  <si>
    <t>3112</t>
  </si>
  <si>
    <t>La sumatoria de los IGV de operaciones gratuitas de la línea (codigo tributo 9996) no corresponden al total</t>
  </si>
  <si>
    <t>3113</t>
  </si>
  <si>
    <t>El xml contiene información FISE que no corresponde al tipo de operación.</t>
  </si>
  <si>
    <t>3114</t>
  </si>
  <si>
    <t>El dato ingresado como indicador de cargo/descuento no corresponde al valor esperado.</t>
  </si>
  <si>
    <t>3115</t>
  </si>
  <si>
    <t>El dato ingresado como unidad de medida de cantidad de especie vendidas no corresponde al valor esperado.</t>
  </si>
  <si>
    <t>3116</t>
  </si>
  <si>
    <t>El XML no contiene el tag o no existe información del ubigeo de punto de origen en Detracciones - Servicio de transporte de carga.</t>
  </si>
  <si>
    <t>3117</t>
  </si>
  <si>
    <t>El XML no contiene el tag o no existe información de la dirección del punto de origen en Detracciones - Servicio de transporte de carga.</t>
  </si>
  <si>
    <t>3118</t>
  </si>
  <si>
    <t>El XML no contiene el tag o no existe información del ubigeo de punto de destino en Detracciones - Servicio de transporte de carga.</t>
  </si>
  <si>
    <t>3119</t>
  </si>
  <si>
    <t>El XML no contiene el tag o no existe información de la dirección del punto de destino en Detracciones - Servicio de transporte de carga.</t>
  </si>
  <si>
    <t>3120</t>
  </si>
  <si>
    <t>El XML no contiene el tag o no existe información del Detalle del viaje en Detracciones - Servicio de transporte de carga.</t>
  </si>
  <si>
    <t>3121</t>
  </si>
  <si>
    <t>El XML no contiene el tag o no existe información del tipo de valor referencial en Detracciones - Servicios de transporte de carga.</t>
  </si>
  <si>
    <t>3122</t>
  </si>
  <si>
    <t>El XML no contiene el tag o no existe información del monto del valor referencial en Detracciones - Servicios de transporte de carga.</t>
  </si>
  <si>
    <t>3123</t>
  </si>
  <si>
    <t>El dato ingresado como monto valor referencial en Detracciones - Servicios de transporte de carga no cumple con el formato establecido.</t>
  </si>
  <si>
    <t>3124</t>
  </si>
  <si>
    <t>Detracciones - Servicio de transporte de carga, debe tener un (y solo uno) Valor Referencial del Servicio de Transporte.</t>
  </si>
  <si>
    <t>3125</t>
  </si>
  <si>
    <t>Detracciones - Servicio de transporte de carga, debe tener un (y solo uno) Valor Referencial sobre la carga efectiva.</t>
  </si>
  <si>
    <t>3126</t>
  </si>
  <si>
    <t>Detracciones - Servicio de transporte de carga, debe tener un (y solo uno) Valor Referencial sobre la carga util nominal.</t>
  </si>
  <si>
    <t>3127</t>
  </si>
  <si>
    <t>El XML no contiene el tag o no existe información del Codigo de BBSS de detracción para el tipo de operación.</t>
  </si>
  <si>
    <t>3128</t>
  </si>
  <si>
    <t>El XML contiene información de codigo de bien y servicio de detracción que no corresponde al tipo de operación.</t>
  </si>
  <si>
    <t>3129</t>
  </si>
  <si>
    <t>El dato ingresado como codigo de BBSS de detracción no corresponde al valor esperado.</t>
  </si>
  <si>
    <t>3130</t>
  </si>
  <si>
    <t>El XML no contiene el tag de nombre de embarcación en Detracciones para recursos hidrobiologicos.</t>
  </si>
  <si>
    <t>3131</t>
  </si>
  <si>
    <t>El XML no contiene el tag de tipo de especie vendidas en Detracciones para recursos hidrobiologicos.</t>
  </si>
  <si>
    <t>3132</t>
  </si>
  <si>
    <t>El XML no contiene el tag de lugar de descarga en Detracciones para recursos hidrobiologicos.</t>
  </si>
  <si>
    <t>3133</t>
  </si>
  <si>
    <t>El XML no contiene el tag de cantidad de especies vendidas en Detracciones para recursos hidrobiologicos.</t>
  </si>
  <si>
    <t>3134</t>
  </si>
  <si>
    <t>El XML no contiene el tag de fecha de descarga en Detracciones para recursos hidrobiologicos.</t>
  </si>
  <si>
    <t>3135</t>
  </si>
  <si>
    <t>El XML no contiene tag de la cantidad del concepto por linea.</t>
  </si>
  <si>
    <t>3136</t>
  </si>
  <si>
    <t>El XML no contiene el tag de numero de documentos del huesped.</t>
  </si>
  <si>
    <t>3137</t>
  </si>
  <si>
    <t>El XML no contiene el tag de tipo de documentos del huesped.</t>
  </si>
  <si>
    <t>3138</t>
  </si>
  <si>
    <t>El XML no contiene el tag de codigo de pais de emision del documento de identidad</t>
  </si>
  <si>
    <t>3139</t>
  </si>
  <si>
    <t>El XML no contiene el tag de apellidos y nombres del huesped.</t>
  </si>
  <si>
    <t>3140</t>
  </si>
  <si>
    <t>El XML no contiene el tag de codigo del pais de residencia.</t>
  </si>
  <si>
    <t>3141</t>
  </si>
  <si>
    <t>El XML no contiene el tag de fecha de ingreso del pais.</t>
  </si>
  <si>
    <t>3142</t>
  </si>
  <si>
    <t>El XML no contiene el tag de fecha de ingreso al establecimiento.</t>
  </si>
  <si>
    <t>3143</t>
  </si>
  <si>
    <t>El XML no contiene el tag de fecha de salida del establecimiento.</t>
  </si>
  <si>
    <t>3144</t>
  </si>
  <si>
    <t>El XML no contiene el tag de fecha de consumo.</t>
  </si>
  <si>
    <t>3145</t>
  </si>
  <si>
    <t>El XML no contiene el tag de numero de dias de permanencia.</t>
  </si>
  <si>
    <t>3146</t>
  </si>
  <si>
    <t>El XML no contiene el tag de Proveedores Estado: Número de Expediente</t>
  </si>
  <si>
    <t>3147</t>
  </si>
  <si>
    <t>El XML no contiene el tag de Proveedores Estado: Código de Unidad Ejecutora</t>
  </si>
  <si>
    <t>3148</t>
  </si>
  <si>
    <t>El XML no contiene el tag de Proveedores Estado: N° de Proceso de Selección</t>
  </si>
  <si>
    <t>3149</t>
  </si>
  <si>
    <t>El XML no contiene el tag de Proveedores Estado: N° de Contrato</t>
  </si>
  <si>
    <t>3150</t>
  </si>
  <si>
    <t>El XML no contiene el tag de Créditos Hipotecarios: Tipo de préstamo</t>
  </si>
  <si>
    <t>3151</t>
  </si>
  <si>
    <t>El XML no contiene el tag de Créditos Hipotecarios: Partida Registral</t>
  </si>
  <si>
    <t>3152</t>
  </si>
  <si>
    <t>El XML no contiene el tag de Créditos Hipotecarios: Número de contrato</t>
  </si>
  <si>
    <t>3153</t>
  </si>
  <si>
    <t>El XML no contiene el tag de Créditos Hipotecarios: Fecha de otorgamiento del crédito</t>
  </si>
  <si>
    <t>3154</t>
  </si>
  <si>
    <t>El XML no contiene el tag de Créditos Hipotecarios: Dirección del predio - Código de ubigeo</t>
  </si>
  <si>
    <t>3155</t>
  </si>
  <si>
    <t>El XML no contiene el tag de Créditos Hipotecarios: Dirección del predio - Dirección completa</t>
  </si>
  <si>
    <t>3156</t>
  </si>
  <si>
    <t>El XML no contiene el tag de BVME transporte ferroviario: Agente de Viajes: Numero de Ruc</t>
  </si>
  <si>
    <t>3157</t>
  </si>
  <si>
    <t>El XML no contiene el tag de BVME transporte ferroviario: Agente de Viajes: Tipo de documento</t>
  </si>
  <si>
    <t>3158</t>
  </si>
  <si>
    <t>El dato ingresado como Agente de Viajes-Tipo de documento no corresponde al valor esperado.</t>
  </si>
  <si>
    <t>3159</t>
  </si>
  <si>
    <t>El XML no contiene el tag de BVME transporte ferroviario: Pasajero - Apellidos y Nombres</t>
  </si>
  <si>
    <t>3160</t>
  </si>
  <si>
    <t>El XML no contiene el tag de BVME transporte ferroviario: Pasajero - Tipo de documento de identidad</t>
  </si>
  <si>
    <t>3161</t>
  </si>
  <si>
    <t>El XML no contiene el tag de BVME transporte ferroviario: Servicio transporte: Ciudad o lugar de origen - Código de ubigeo</t>
  </si>
  <si>
    <t>3162</t>
  </si>
  <si>
    <t>El XML no contiene el tag de BVME transporte ferroviario: Servicio transporte: Ciudad o lugar de origen - Dirección detallada</t>
  </si>
  <si>
    <t>3163</t>
  </si>
  <si>
    <t>El XML no contiene el tag de BVME transporte ferroviario: Servicio transporte: Ciudad o lugar de destino - Código de ubigeo</t>
  </si>
  <si>
    <t>3164</t>
  </si>
  <si>
    <t>El XML no contiene el tag de BVME transporte ferroviario: Servicio transporte: Ciudad o lugar de destino - Dirección detallada</t>
  </si>
  <si>
    <t>3165</t>
  </si>
  <si>
    <t>El XML no contiene el tag de BVME transporte ferroviario: Servicio transporte:Número de asiento</t>
  </si>
  <si>
    <t>3166</t>
  </si>
  <si>
    <t>El XML no contiene el tag de BVME transporte ferroviario: Servicio transporte: Hora programada de inicio de viaje</t>
  </si>
  <si>
    <t>3167</t>
  </si>
  <si>
    <t>El XML no contiene el tag de BVME transporte ferroviario: Servicio transporte: Fecha programada de inicio de viaje</t>
  </si>
  <si>
    <t>3168</t>
  </si>
  <si>
    <t>El XML no contiene el tag de Carta Porte Aéreo:  Lugar de origen - Código de ubigeo</t>
  </si>
  <si>
    <t>3169</t>
  </si>
  <si>
    <t>El XML no contiene el tag de Carta Porte Aéreo:  Lugar de origen - Dirección detallada</t>
  </si>
  <si>
    <t>3170</t>
  </si>
  <si>
    <t>El XML no contiene el tag de Carta Porte Aéreo:  Lugar de destino - Código de ubigeo</t>
  </si>
  <si>
    <t>3171</t>
  </si>
  <si>
    <t>El XML no contiene el tag de Carta Porte Aéreo:  Lugar de destino - Dirección detallada</t>
  </si>
  <si>
    <t>3172</t>
  </si>
  <si>
    <t>El XML no contiene tag de la Hora del concepto por linea.</t>
  </si>
  <si>
    <t>3173</t>
  </si>
  <si>
    <t>El XML no contiene el tag de BVME transporte ferroviario: Servicio transporte: Forma de Pago</t>
  </si>
  <si>
    <t>3174</t>
  </si>
  <si>
    <t>El dato ingreso como Forma de Pago o Medio de Pago no corresponde al valor esperado (catalogo nro 59)</t>
  </si>
  <si>
    <t>3175</t>
  </si>
  <si>
    <t>El XML no contiene el tag de BVME transporte ferroviario: Servicio de transporte: Número de autorización de la transacción</t>
  </si>
  <si>
    <t>3176</t>
  </si>
  <si>
    <t>El XML no contiene el tag de Regalía Petrolera: Decreto Supremo de aprobación del contrato</t>
  </si>
  <si>
    <t>3177</t>
  </si>
  <si>
    <t>El XML no contiene el tag de Regalía Petrolera: Area de contrato (Lote)</t>
  </si>
  <si>
    <t>3178</t>
  </si>
  <si>
    <t>El XML no contiene el tag de Regalía Petrolera: Periodo de pago - Fecha de inicio</t>
  </si>
  <si>
    <t>3179</t>
  </si>
  <si>
    <t>El XML no contiene el tag de Regalía Petrolera: Periodo de pago - Fecha de fin</t>
  </si>
  <si>
    <t>3180</t>
  </si>
  <si>
    <t>El XML no contiene el tag de Regalía Petrolera: Fecha de Pago</t>
  </si>
  <si>
    <t>3181</t>
  </si>
  <si>
    <t>El dato ingresado como Codigo de producto SUNAT no corresponde al valor esperado para tipo de operación.</t>
  </si>
  <si>
    <t>3182</t>
  </si>
  <si>
    <t>El XML no contiene el tag de Transportre Terreste - Número de asiento</t>
  </si>
  <si>
    <t>3183</t>
  </si>
  <si>
    <t>El XML no contiene el tag de Transporte Terrestre - Información de manifiesto de pasajeros</t>
  </si>
  <si>
    <t>3184</t>
  </si>
  <si>
    <t>El XML no contiene el tag de Transporte Terrestre - Número de documento de identidad del pasajero</t>
  </si>
  <si>
    <t>3185</t>
  </si>
  <si>
    <t>El XML no contiene el tag de Transporte Terrestre - Tipo de documento de identidad del pasajero</t>
  </si>
  <si>
    <t>3186</t>
  </si>
  <si>
    <t>El XML no contiene el tag de Transporte Terrestre - Nombres y apellidos del pasajero</t>
  </si>
  <si>
    <t>3187</t>
  </si>
  <si>
    <t>El XML no contiene el tag de Transporte Terrestre - Ciudad o lugar de destino - Dirección detallada</t>
  </si>
  <si>
    <t>3188</t>
  </si>
  <si>
    <t>El XML no contiene el tag de Transporte Terrestre - Ciudad o lugar de origen - Ubigeo</t>
  </si>
  <si>
    <t>3189</t>
  </si>
  <si>
    <t>El XML no contiene el tag de Transporte Terrestre - Ciudad o lugar de origen - Dirección detallada</t>
  </si>
  <si>
    <t>3190</t>
  </si>
  <si>
    <t>El XML no contiene el tag de Transporte Terrestre - Fecha de inicio programado</t>
  </si>
  <si>
    <t>3191</t>
  </si>
  <si>
    <t>El XML no contiene el tag de Transporte Terrestre - Hora de inicio programado</t>
  </si>
  <si>
    <t>3192</t>
  </si>
  <si>
    <t>El XML no contiene el tag de Total de anticipos</t>
  </si>
  <si>
    <t>3193</t>
  </si>
  <si>
    <t>El dato ingresado Total anticipos no corresponde para el tipo de operación</t>
  </si>
  <si>
    <t>3194</t>
  </si>
  <si>
    <t>Para los ajustes de operaciones de exportación solo es permitido registrar un documento que modifica.</t>
  </si>
  <si>
    <t>3195</t>
  </si>
  <si>
    <t>El xml no contiene el tag de impuesto por linea (TaxtTotal).</t>
  </si>
  <si>
    <t>3196</t>
  </si>
  <si>
    <t>La sumatoria de impuestos globales no corresponde al monto total de impuestos.</t>
  </si>
  <si>
    <t>3197</t>
  </si>
  <si>
    <t>El XML no contiene el tag de Transporte Terrestre - Ciudad o lugar de destino - Ubigeo</t>
  </si>
  <si>
    <t>3198</t>
  </si>
  <si>
    <t>La fecha de cierre no puede ser inferior a la fecha de inicio del cómputo del ciclo de facturación</t>
  </si>
  <si>
    <t>3199</t>
  </si>
  <si>
    <t>Si utiliza el estandar GS1 debe especificar el tipo de estructura GTIN</t>
  </si>
  <si>
    <t>3200</t>
  </si>
  <si>
    <t>El tipo de estructura GS1 no tiene un valor permitido</t>
  </si>
  <si>
    <t>3201</t>
  </si>
  <si>
    <t>El código de producto GS1 no cumple el estandar</t>
  </si>
  <si>
    <t>3202</t>
  </si>
  <si>
    <t>3203</t>
  </si>
  <si>
    <t>El tipo de nota es un dato único</t>
  </si>
  <si>
    <t>3204</t>
  </si>
  <si>
    <t>El XML no contiene el tag de BVME transporte ferroviario: Pasajero - Número de documento de identidad</t>
  </si>
  <si>
    <t>3205</t>
  </si>
  <si>
    <t>Debe consignar el tipo de operación</t>
  </si>
  <si>
    <t>3206</t>
  </si>
  <si>
    <t>El dato ingresado como tipo de operación no corresponde a un valor esperado (catálogo nro. 51)</t>
  </si>
  <si>
    <t xml:space="preserve">Comprobante físico no se encuentra autorizado </t>
  </si>
  <si>
    <t>3208</t>
  </si>
  <si>
    <t>La moneda del monto de la detracción debe ser PEN</t>
  </si>
  <si>
    <t>3209</t>
  </si>
  <si>
    <t>El tipo de moneda de la nota debe ser el mismo que el declarado en el documento que modifica</t>
  </si>
  <si>
    <t>3210</t>
  </si>
  <si>
    <t>Solo debe consignar sistema de calculo si el tributo es ISC</t>
  </si>
  <si>
    <t>3211</t>
  </si>
  <si>
    <t>Falta identificador del pago del Monto de anticipo para relacionarlo con el comprobante que se realizo el  anticipo</t>
  </si>
  <si>
    <t>3212</t>
  </si>
  <si>
    <t>El comprobante contiene un identificador de pago repetido en los montos anticipados</t>
  </si>
  <si>
    <t>3213</t>
  </si>
  <si>
    <t>El comprobante contiene un pago anticipado pero no se ha consignado el documento que se realizo el anticipo</t>
  </si>
  <si>
    <t>3214</t>
  </si>
  <si>
    <t>No existe información del Monto Anticipado para el comprobante que se realizo el anticipo</t>
  </si>
  <si>
    <t>3215</t>
  </si>
  <si>
    <t>El comprobante contiene un identificador de pago repetido en los comprobantes que se realizo el anticipo</t>
  </si>
  <si>
    <t>3216</t>
  </si>
  <si>
    <t>Falta identificador del pago del comprobante para relacionarlo con el monto de  anticipo</t>
  </si>
  <si>
    <t>3217</t>
  </si>
  <si>
    <t>Debe consignar Numero de RUC del emisor del comprobante de anticipo</t>
  </si>
  <si>
    <t>3218</t>
  </si>
  <si>
    <t>El comprobante que se realizo el anticipo no existe</t>
  </si>
  <si>
    <t>3219</t>
  </si>
  <si>
    <t>El comprobante que se realizo el anticipo no se encuentra autorizado</t>
  </si>
  <si>
    <t>3220</t>
  </si>
  <si>
    <t>Si consigna montos de anticipo debe informar el Total de Anticipos</t>
  </si>
  <si>
    <t>3221</t>
  </si>
  <si>
    <t>El dato ingresado como codigo de tributo global es invalido para tipo de nota</t>
  </si>
  <si>
    <t>3222</t>
  </si>
  <si>
    <t>No existe información a nivel global de un tributo informado en la línea</t>
  </si>
  <si>
    <t>3223</t>
  </si>
  <si>
    <t>La combinación de tributos no es permitida</t>
  </si>
  <si>
    <t>3224</t>
  </si>
  <si>
    <t>Si existe 'Valor referencial unitario en operac. no onerosas' con monto mayor a cero, la operacion debe ser gratuita (codigo de tributo 9996)</t>
  </si>
  <si>
    <t>3225</t>
  </si>
  <si>
    <t>La base imponible a nivel de línea difiere de la información consignada en el comprobante</t>
  </si>
  <si>
    <t>3226</t>
  </si>
  <si>
    <t>El resultado del monto del cargo o descuento global es incorrecto en base a la información consignada</t>
  </si>
  <si>
    <t>3227</t>
  </si>
  <si>
    <t>La sumatoria del Total del valor de venta más los impuestos no concuerda con la base imponible</t>
  </si>
  <si>
    <t>3228</t>
  </si>
  <si>
    <t>El Comprobante de Pago no está autorizado en los Sistemas de la SUNAT.</t>
  </si>
  <si>
    <t>3229</t>
  </si>
  <si>
    <t>El monto para el redondeo del Importe Total excede el valor permitido</t>
  </si>
  <si>
    <t>3230</t>
  </si>
  <si>
    <t>Tipo de nota debe ser 'Ajustes afectos al IVAP'</t>
  </si>
  <si>
    <t>3231</t>
  </si>
  <si>
    <t>Debe consignar solo un elemento a nivel global para Percepciones (cbc:ID igual a 2001)</t>
  </si>
  <si>
    <t>3232</t>
  </si>
  <si>
    <t>Sólo los contribuyentes que hayan emitido los siguientes documentos: Guías, factura, boleta y sus respectivas notas, hasta el 30/09/2018 están autorizados a utilizar esta versión UBL</t>
  </si>
  <si>
    <t>3233</t>
  </si>
  <si>
    <t>Para cargo Percepción, debe ingresar monto base y debe ser mayor a 0.00</t>
  </si>
  <si>
    <t>3234</t>
  </si>
  <si>
    <t>El código de precio '02' es sólo para operaciones gratuitas</t>
  </si>
  <si>
    <t>3235</t>
  </si>
  <si>
    <t>No está autorizado a enviar comprobantes bajo el formato UBL 2.0</t>
  </si>
  <si>
    <t>3236</t>
  </si>
  <si>
    <t>El valor ingresado en el campo cac:TaxSubtotal/cbc:BaseUnitMeasure no corresponde al valor esperado</t>
  </si>
  <si>
    <t>3237</t>
  </si>
  <si>
    <t>Debe consignar el campo cac:TaxSubtotal/cbc:BaseUnitMeasure a nivel de ítem</t>
  </si>
  <si>
    <t>3238</t>
  </si>
  <si>
    <t>El valor ingresado en el campo cac:TaxSubtotal/cbc:PerUnitAmount del ítem no corresponde al valor esperado</t>
  </si>
  <si>
    <t>3239</t>
  </si>
  <si>
    <t>El código de local anexo consignado no se encuentra declarado en el RUC</t>
  </si>
  <si>
    <t>3240</t>
  </si>
  <si>
    <t>El impuesto ICBPER no aplica para el NRUS</t>
  </si>
  <si>
    <t>3241</t>
  </si>
  <si>
    <t>Para el tipo de operación 2100, 2101 y 2102 (Creditos) debe consignar Numero de contrato, Fecha de otorgamiento y Monto del crédito otorgado (capital)</t>
  </si>
  <si>
    <t>3242</t>
  </si>
  <si>
    <t>Para el tipo de operación 2104 - Empresas del sistema de seguros, debe consignar Información adicional  a nivel de ítem</t>
  </si>
  <si>
    <t>3243</t>
  </si>
  <si>
    <t>El XML no contiene tag o no existe información de la fecha del concepto por linea</t>
  </si>
  <si>
    <t>3244</t>
  </si>
  <si>
    <t>Debe consignar la informacion del tipo de transaccion del comprobante</t>
  </si>
  <si>
    <t>3245</t>
  </si>
  <si>
    <t>Debe informar si el tipo de transaccion es al Contado o al Credito</t>
  </si>
  <si>
    <t>3246</t>
  </si>
  <si>
    <t>El tipo de transaccion o el identificador de la cuota no cumple con el formato esperado</t>
  </si>
  <si>
    <t>3247</t>
  </si>
  <si>
    <t>El tipo de transaccion no puede ser a la vez al Contado y al Credito</t>
  </si>
  <si>
    <t>3248</t>
  </si>
  <si>
    <t>El tipo de transaccion o el identificador de la cuota no debe repetirse en el comprobante</t>
  </si>
  <si>
    <t>3249</t>
  </si>
  <si>
    <t>Si el tipo de transaccion es al Credito debe existir al menos información de una cuota de pago</t>
  </si>
  <si>
    <t>3250</t>
  </si>
  <si>
    <t>El Monto neto pendiente de pago no cumple el formato definido</t>
  </si>
  <si>
    <t>3251</t>
  </si>
  <si>
    <t>Si el tipo de transaccion es al Credito debe consignarse el Monto neto pendiente de pago</t>
  </si>
  <si>
    <t>3252</t>
  </si>
  <si>
    <t>Si existe información de cuota de pago, el tipo de transaccion debe ser al credito</t>
  </si>
  <si>
    <t>3253</t>
  </si>
  <si>
    <t>El Monto del pago único o de las cuotas no cumple el formato definido</t>
  </si>
  <si>
    <t>3254</t>
  </si>
  <si>
    <t>Si se consigna información de la cuota de pago, debe indicarse el monto de la cuota</t>
  </si>
  <si>
    <t>3255</t>
  </si>
  <si>
    <t>Fecha del pago único o de las cuotas no cumple el formato definido</t>
  </si>
  <si>
    <t>3256</t>
  </si>
  <si>
    <t>Si se consigna información de la cuota de pago, debe indicarse la fecha del pago único o de las cuotas</t>
  </si>
  <si>
    <t>3257</t>
  </si>
  <si>
    <t>Para el tipo de nota de credito 13 debe consignar información de la operación al credito</t>
  </si>
  <si>
    <t>3259</t>
  </si>
  <si>
    <t>Para el tipo de nota de credito 13 el documento afectado debe ser Factura</t>
  </si>
  <si>
    <t>3260</t>
  </si>
  <si>
    <t>Para el tipo de nota de credito 13 el documento afectado debe ser Factura al credito</t>
  </si>
  <si>
    <t>3261</t>
  </si>
  <si>
    <t>Para el tipo de nota de credito 13 no se puede modificar mas de una factura en la nota</t>
  </si>
  <si>
    <t>3262</t>
  </si>
  <si>
    <t>Si existe retencion de IGV en el comprobante, el receptor debe ser un Agente de Retencion</t>
  </si>
  <si>
    <t>3263</t>
  </si>
  <si>
    <t>El Importe de la retencion no tiene el valor correcto</t>
  </si>
  <si>
    <t>3264</t>
  </si>
  <si>
    <t>El importe total de la operación (base imponible de retencion) no puede ser mayor al importe total del comprobante.</t>
  </si>
  <si>
    <t>3265</t>
  </si>
  <si>
    <t>El Monto neto pendiente de pago debe ser menor o igual al Importe total del comprobante</t>
  </si>
  <si>
    <t>3266</t>
  </si>
  <si>
    <t>El Monto del pago único o de las cuotas debe ser menor o igual al Importe total del comprobante</t>
  </si>
  <si>
    <t>3267</t>
  </si>
  <si>
    <r>
      <t xml:space="preserve">Fecha del pago único o de las cuotas no puede ser anterior </t>
    </r>
    <r>
      <rPr>
        <b/>
        <sz val="9"/>
        <rFont val="Calibri"/>
        <family val="2"/>
        <scheme val="minor"/>
      </rPr>
      <t xml:space="preserve">o igual </t>
    </r>
    <r>
      <rPr>
        <sz val="9"/>
        <rFont val="Calibri"/>
        <family val="2"/>
        <scheme val="minor"/>
      </rPr>
      <t>a la fecha de emisión del comprobante</t>
    </r>
  </si>
  <si>
    <t>3268</t>
  </si>
  <si>
    <t>3269</t>
  </si>
  <si>
    <t>Si existe retencion de IGV en el comprobante, el emisor no debe ser un Agente de Retencion</t>
  </si>
  <si>
    <t>3270</t>
  </si>
  <si>
    <t>El precio unitario de la operación que está informando difiere de los cálculos realizados en base a la información remitida</t>
  </si>
  <si>
    <t>3271</t>
  </si>
  <si>
    <t>El valor de venta por ítem difiere de los importes consignados.</t>
  </si>
  <si>
    <t>3272</t>
  </si>
  <si>
    <t>3273</t>
  </si>
  <si>
    <t>3274</t>
  </si>
  <si>
    <t>3275</t>
  </si>
  <si>
    <t>3276</t>
  </si>
  <si>
    <t>3277</t>
  </si>
  <si>
    <t>3278</t>
  </si>
  <si>
    <t>3279</t>
  </si>
  <si>
    <t>3280</t>
  </si>
  <si>
    <t>El importe total del comprobante no coincide con el valor calculado</t>
  </si>
  <si>
    <t>3281</t>
  </si>
  <si>
    <t>El emisor electrónico no se encuentra inscrito en el Registro de Establecimientos Autorizados (REA)</t>
  </si>
  <si>
    <t>3282</t>
  </si>
  <si>
    <t>Si se informa descuentos globales por anticipo debe existir 'Total de anticipos' con monto mayor a cero</t>
  </si>
  <si>
    <t>3283</t>
  </si>
  <si>
    <t>Si se utiliza la leyenda con código 2001, el total de operaciones exoneradas debe ser mayor a 0.00</t>
  </si>
  <si>
    <t>3284</t>
  </si>
  <si>
    <t>Si se utiliza la leyenda con código 2002, el total de operaciones exoneradas debe ser mayor a 0.00</t>
  </si>
  <si>
    <t>3285</t>
  </si>
  <si>
    <t>Si se utiliza la leyenda con código 2003, el total de operaciones exoneradas debe ser mayor a 0.00</t>
  </si>
  <si>
    <t>3286</t>
  </si>
  <si>
    <t>El monto total de la nota de credito debe ser menor o igual al monto de la factura</t>
  </si>
  <si>
    <t>3287</t>
  </si>
  <si>
    <t>Si se informa 'Total de anticipos' debe consignar los descuentos globales por anticipo con monto mayor a cero</t>
  </si>
  <si>
    <t>3288</t>
  </si>
  <si>
    <t>Debe consignar el Total Valor de Venta</t>
  </si>
  <si>
    <t>3289</t>
  </si>
  <si>
    <t>Si se utiliza la leyenda con código 2008, el total de operaciones exoneradas debe ser mayor a 0.00</t>
  </si>
  <si>
    <t>3290</t>
  </si>
  <si>
    <t>El valor de cargo/descuento por ítem difiere de los importes consignados.</t>
  </si>
  <si>
    <t>3291</t>
  </si>
  <si>
    <t>El cálculo del IGV es Incorrecto</t>
  </si>
  <si>
    <t>3292</t>
  </si>
  <si>
    <t>3293</t>
  </si>
  <si>
    <t>3294</t>
  </si>
  <si>
    <t>3295</t>
  </si>
  <si>
    <t>El importe del IVAP no corresponden al determinado por la informacion consignada.</t>
  </si>
  <si>
    <t>3296</t>
  </si>
  <si>
    <t>La sumatoria del monto base - ISC de línea no corresponden al total</t>
  </si>
  <si>
    <t>3297</t>
  </si>
  <si>
    <t>La sumatoria del monto base - Otros tributos de línea no corresponden al total</t>
  </si>
  <si>
    <t>3298</t>
  </si>
  <si>
    <t>3299</t>
  </si>
  <si>
    <t>3300</t>
  </si>
  <si>
    <t>3301</t>
  </si>
  <si>
    <t>3302</t>
  </si>
  <si>
    <t>3303</t>
  </si>
  <si>
    <t>3304</t>
  </si>
  <si>
    <t>La moneda del monto para el redondeo debe ser PEN</t>
  </si>
  <si>
    <t>3305</t>
  </si>
  <si>
    <t>Debe consignar el Total Precio de Venta</t>
  </si>
  <si>
    <t>3306</t>
  </si>
  <si>
    <t>La sumatoria del total del importe del tributo ICBPER de línea no corresponden al total</t>
  </si>
  <si>
    <t>3307</t>
  </si>
  <si>
    <t>El valor de cargo/descuento global difiere de los importes consignados</t>
  </si>
  <si>
    <t>3308</t>
  </si>
  <si>
    <t>Solo debe consignar informacion de percepciones si el tipo de operación es 2001-Operación sujeta a Percepcion</t>
  </si>
  <si>
    <t>3309</t>
  </si>
  <si>
    <t>Si forma de pago es Contado debe consignar un Payment Terms con indicador Percepcion</t>
  </si>
  <si>
    <t>3310</t>
  </si>
  <si>
    <t>Debe consignar el Monto total incluido la percepcion</t>
  </si>
  <si>
    <t>3311</t>
  </si>
  <si>
    <t>El Monto total incluido la percepción no cumple con el formato establecido</t>
  </si>
  <si>
    <t>3312</t>
  </si>
  <si>
    <t>El documento relacionado tiene monto informado de percepción</t>
  </si>
  <si>
    <t>3313</t>
  </si>
  <si>
    <t>Si consigna información del codigo bien sujeto a detraccion, debe informar la cuenta de BN y montos de la detraccion</t>
  </si>
  <si>
    <t>3314</t>
  </si>
  <si>
    <t>Si consigna cuenta de BN y montos de la detraccion, debe informar el codigo bien sujeto a detraccion</t>
  </si>
  <si>
    <t>3315</t>
  </si>
  <si>
    <t>Si el tipo de nota de credito es 13, el Importe total debe ser cero</t>
  </si>
  <si>
    <t>3316</t>
  </si>
  <si>
    <t>Si el tipo de operación es 2002, debe informar los datos de la retención de segunda categoria</t>
  </si>
  <si>
    <t>3317</t>
  </si>
  <si>
    <t>Si consigna infomacion de la retencion de segunda categoria, el tipo de operacion debe ser 2002</t>
  </si>
  <si>
    <t>3318</t>
  </si>
  <si>
    <t>Debe consignar la base de la retencion de segunda categoria</t>
  </si>
  <si>
    <t>3319</t>
  </si>
  <si>
    <t>La suma de las cuotas debe ser igual al Monto neto pendiente de pago.</t>
  </si>
  <si>
    <t>3320</t>
  </si>
  <si>
    <t>El monto neto pendiente de pago debe ser menor o igual al monto de la factura</t>
  </si>
  <si>
    <t>3321</t>
  </si>
  <si>
    <t>La fecha de la cuota debe ser mayor a la fecha de emisión de la factura</t>
  </si>
  <si>
    <t>3322</t>
  </si>
  <si>
    <t>El valor debe ser 01 que corresponde a Emisión de Percepción Excepcional</t>
  </si>
  <si>
    <t>3323</t>
  </si>
  <si>
    <t>Solo se permite 1 documento relacionado cuando el Indicador de emisión excepcional es '01'</t>
  </si>
  <si>
    <t>3324</t>
  </si>
  <si>
    <t>Solo se permite '01' para el Tipo de documento relacionado cuando el valor del Indicador de emisión excepcional es '01'</t>
  </si>
  <si>
    <t>3325</t>
  </si>
  <si>
    <t>Se permite emitir comprobante de percepción excepcional cuando el documento de referencia es al contado.</t>
  </si>
  <si>
    <t>3326</t>
  </si>
  <si>
    <t>Solo se permite referenciar siempre y cuando el comprobante de percepción excepcional en el que se referencia al documento relacionado haya sido revertido.</t>
  </si>
  <si>
    <t>3327</t>
  </si>
  <si>
    <t>No esta permitido referenciar el Código del régimen de percepción con el regimen del documento relacionado.</t>
  </si>
  <si>
    <t>3328</t>
  </si>
  <si>
    <t>La boleta de venta relacionada tiene monto informado de percepción.</t>
  </si>
  <si>
    <t>3329</t>
  </si>
  <si>
    <t>Se permite emitir comprobante de percepción (no excepcional) cuando documento de referencia es al crédito o no tiene indicador de forma de pago.</t>
  </si>
  <si>
    <t>3330</t>
  </si>
  <si>
    <t>Solo debe consignar informacion de percepciones si la forma de pago es "Contado"</t>
  </si>
  <si>
    <t>El XML no contiene el tag o no existe informacion del tipo de documento identidad del Comprador</t>
  </si>
  <si>
    <t>El tipo de documento de identidad del Comprador es invalido</t>
  </si>
  <si>
    <t>El XML no contiene el tag o no existe informacion del numero de documento de identidad del Comprador</t>
  </si>
  <si>
    <t>El tipo y numero de documento de identidad del Remitente no puede ser es el mismo que el Comprador</t>
  </si>
  <si>
    <t>El tipo y numero de documento de identidad del Destinatario no debe ser es el mismo que el Comprador</t>
  </si>
  <si>
    <t>Numero de RUC del Comprador no existe</t>
  </si>
  <si>
    <t>El valor ingresado como documento de identidad del Comprador es incorrecto</t>
  </si>
  <si>
    <t>Numero de DNI del Comprador no existe</t>
  </si>
  <si>
    <t>El XML no contiene el tag o no existe informacion del nombre o razon social del Comprador</t>
  </si>
  <si>
    <t>El documento relacionado al traslado de mercancias se encuentra duplicado</t>
  </si>
  <si>
    <t>No existe el numero de Declaracion Aduanera de Mercancias (DAM) o el Declaracion Simplificada (DS)</t>
  </si>
  <si>
    <t>La Constancia de Deposito ingresada ya ha sido referenciada en otra GRE emitida</t>
  </si>
  <si>
    <t>La Fecha de inicio del traslado debe ser mayor o igual a la Fecha de emision del documento</t>
  </si>
  <si>
    <t>El indicador no debe repetirse</t>
  </si>
  <si>
    <t>Solo corresponde ingresar hasta dos 2 documentos relacionados si uno de los tipos de documentos relacionados es "31", "65", "66", "67", "68" o "69"</t>
  </si>
  <si>
    <t>Solo corresponde ingresar mas de 1 documento relacionado si uno de los tipos de documentos relacionados es "31", "65", "66", "67", "68" o "69", o "09" (solo guia electronica)</t>
  </si>
  <si>
    <t>No debe consignar los datos del transportista para una operacion de Transporte Privado</t>
  </si>
  <si>
    <t>El Numero de RUC del Transportista no existe</t>
  </si>
  <si>
    <t>El RUC del Transportista no esta activo</t>
  </si>
  <si>
    <t>El RUC del Transportista no esta habido</t>
  </si>
  <si>
    <t>El RUC del Transportista no esta afecto a los tributos autorizados</t>
  </si>
  <si>
    <t>Si ingreso un documento relacionado tipo "49" (solo en caso de GRE-Remitente) u "80", debe existir al menos un item con Partida arancelaria</t>
  </si>
  <si>
    <t>Solo debe consignar un Numero de autorizacion</t>
  </si>
  <si>
    <t>No debe ingresar informacion de vehiculo principal</t>
  </si>
  <si>
    <t>El Numero de Constancia de Inscripcion Vehicular o Certificado de Habilitacion Vehicular o la TUC (fisica o electronica) no cumple con el formato establecido</t>
  </si>
  <si>
    <t>Solo debe consignar un Numero de autorizacion del vehiculo</t>
  </si>
  <si>
    <t>Debe consignar informacion del conductor principal</t>
  </si>
  <si>
    <t>Solo debe existir informacion de un conductor principal</t>
  </si>
  <si>
    <t>El numero de DNI del conductor no existe</t>
  </si>
  <si>
    <t>Debe consignar informacion de los nombres del conductor</t>
  </si>
  <si>
    <t>Debe consignar informacion de los apellidos del conductor</t>
  </si>
  <si>
    <t>No debe repetirse la informacion de conductores</t>
  </si>
  <si>
    <t>El codigo de ubigeo del punto de partida no existe</t>
  </si>
  <si>
    <t>El codigo de ubigeo no corresponde a la direccion del puerto/aeropuerto consignado</t>
  </si>
  <si>
    <t>El codigo de establecimiento anexo del punto de partida no existe o no contiene informacion</t>
  </si>
  <si>
    <t>El codigo de establecimiento anexo del punto de partida no esta declarado en SUNAT</t>
  </si>
  <si>
    <t>El codigo de establecimiento anexo del punto de partida no coincide con el ubigeo de partida consignado</t>
  </si>
  <si>
    <t>El codigo de ubigeo del punto de llegada no existe</t>
  </si>
  <si>
    <t>El codigo de establecimiento anexo del punto de llegada no existe o no contiene informacion</t>
  </si>
  <si>
    <t>El codigo de establecimiento anexo del punto de llegada no esta declarado en SUNAT</t>
  </si>
  <si>
    <t>El codigo de establecimiento anexo del punto de llegada no coincide con el ubigeo de llegada consignado</t>
  </si>
  <si>
    <t>Si el bien es regulado por SUNAT (existe Indicador de bien normalizado), debe indicar el Codigo de producto SUNAT</t>
  </si>
  <si>
    <t>El Codigo de Producto SUNAT no se encuentra en el listado</t>
  </si>
  <si>
    <t>No debe consignar el el Tipo de evento</t>
  </si>
  <si>
    <t>El Codigo de Producto GTIN no cumple con el formato establecido</t>
  </si>
  <si>
    <t>El XML no contiene el tag o no existe informacion del Codigo de tipo de documento relacionado</t>
  </si>
  <si>
    <t>La Partida arancelaria no cumple con el formato establecido</t>
  </si>
  <si>
    <t>La Partida arancelaria no se encuentra en el listado</t>
  </si>
  <si>
    <t>Debe consignar un documento relacionado igual a '49' (solo en caso de GRE-Remitente) u '80' para un traslado que comprende un bien normalizado</t>
  </si>
  <si>
    <t>Debe consignar el RUC del emisor del documento relacionado</t>
  </si>
  <si>
    <t>El RUC del emisor del documento relacionado no corresponde</t>
  </si>
  <si>
    <t>El Tipo de documento del emisor del documento relacionado debe ser Numero de RUC</t>
  </si>
  <si>
    <t>Debe consignar el Numero de documento de identidad del Remitente</t>
  </si>
  <si>
    <t>El Numero de documento de identidad del Remitente no cumple con el formato establecido</t>
  </si>
  <si>
    <t>El Numero de RUC del Remitente no existe</t>
  </si>
  <si>
    <t>El Numero de DNI del Remitente no existe</t>
  </si>
  <si>
    <t>Debe consignar el Nombre o razon social del Remitente</t>
  </si>
  <si>
    <t>El indicador no cumple con el formato establecido</t>
  </si>
  <si>
    <t>El Numero de RUC del subcontratador no existe</t>
  </si>
  <si>
    <t>El tipo y numero de documento de identidad del subcontratador es el mismo que del Transportista</t>
  </si>
  <si>
    <t>El Tipo de documento de identidad del subcontratador debe ser 6-Numero de RUC</t>
  </si>
  <si>
    <t>El Indicador de traslado total de la DAM o la DS solo se consigna cuando el motivo de traslado es 08-Importacion o 09 - Exportacion</t>
  </si>
  <si>
    <t>3393</t>
  </si>
  <si>
    <t>El tipo y numero de documento de identidad del Proveedor no debe ser el mismo que del Destinatario</t>
  </si>
  <si>
    <t>Si existe mas de una DAM o DS, deben coincidir los tipos y numeros de documento de identidad del importador o exportador consignados en dichos documentos</t>
  </si>
  <si>
    <t>Si el motivo de traslado no es 08-Importacion ni 09-Exportacion, no debe consignar el campo 'Peso bruto total de los items seleccionados'</t>
  </si>
  <si>
    <t>El Indicador de bien normalizado es invalido</t>
  </si>
  <si>
    <t>El dato ingresado como 'Peso bruto total de los items seleccionados' no cumple con el formato establecido</t>
  </si>
  <si>
    <t>La unidad de medida del 'Peso bruto total de los items seleccionados' debe ser kilogramos (KGM)</t>
  </si>
  <si>
    <t>El Tipo de documento de identidad de quien paga el servicio es invalido</t>
  </si>
  <si>
    <t>El Numero de documento de identidad de quien paga el servicio no cumple con el formato establecido</t>
  </si>
  <si>
    <t>El Numero de DNI de quien paga el servicio no existe</t>
  </si>
  <si>
    <t>El Numero de RUC de quien paga el servicio no existe</t>
  </si>
  <si>
    <t>El XML no contiene el tag o no existe informacion del numero de documento relacionado</t>
  </si>
  <si>
    <t>El XML no contiene el tag o no existe informacion del motivo de traslado</t>
  </si>
  <si>
    <t>El valor ingresado como motivo de traslado no es valido</t>
  </si>
  <si>
    <t>El XML no contiene el tag o no existe informacion de la fecha de inicio de traslado o fecha de entrega del bien al Transportista</t>
  </si>
  <si>
    <t>El valor ingresado  como fecha de inicio o fecha de entrega al Transportista no cumple con el estandar (YYYY-MM-DD)</t>
  </si>
  <si>
    <t>El Numero de RUC del emisor del documento relacionado no existe</t>
  </si>
  <si>
    <t>El Numero de RUC no cumple con el formato establecido</t>
  </si>
  <si>
    <t>Debe indicar el Numero de RUC al cual pertenece el Codigo de establecimiento anexo del punto de partida/llegada</t>
  </si>
  <si>
    <t>El Numero de RUC  asociado al punto de partida/llegada no debe ser el igual al Numero de RUC del remitente</t>
  </si>
  <si>
    <t>El Numero de RUC aociado al establecimiento del punto de partida/llegada no existe</t>
  </si>
  <si>
    <t>El valor ingresado como Punto de georreferencia no cumple con el formato establecido</t>
  </si>
  <si>
    <t>El Numero de RUC  asociado al punto de partida/llegada debe ser el igual al Numero de RUC del remitente</t>
  </si>
  <si>
    <t>3415</t>
  </si>
  <si>
    <t>Si el Motivo de traslado es 09-Exportacion, y el punto de llegada no es un puerto, el Numero de Ruc del establecimiento debe corresponder al numero de RUC del deposito temporal consignado en la DAM o DS</t>
  </si>
  <si>
    <t>No corresponde informar codigo de establecimiento del punto de llegada</t>
  </si>
  <si>
    <t>Para el motivo de traslado 06 y 17 el tipo de documento de identidad del destinatario debe ser 6-RUC</t>
  </si>
  <si>
    <t>Si el motivo de traslado no es 08-Importacion ni 09-Exportacion, no debe consignar el campo 'Sustento de la diferencia del Peso bruto total de la carga'</t>
  </si>
  <si>
    <t>Si el Motivo de traslado es 08-Importacion o 09-Exportacion, debe consignar algun 'Numero de contenedor' o el 'Numero de Bultos o Pallets'</t>
  </si>
  <si>
    <t>Solo se pueden consignar como maximo dos contenedores</t>
  </si>
  <si>
    <t>El Numero de contenedor no debe repetirse</t>
  </si>
  <si>
    <t>Si existe Numero de contenedor debe indicarse el Numero de precinto</t>
  </si>
  <si>
    <t>El Numero de precinto no debe repetirse</t>
  </si>
  <si>
    <t>Si el Motivo de traslado es 08-Importacion, y el punto de partida no es un puerto ni aeropuerto, el Numero de Ruc del establecimiento debe corresponder al numero de RUC del deposito temporal consignado en la DAM o DS</t>
  </si>
  <si>
    <t>El Codigo de producto SUNAT no esta en el listado de bienes normalizados</t>
  </si>
  <si>
    <t>Si se trata de un bien normalizado por SUNAT, debe indicarse la Partida arancelaria</t>
  </si>
  <si>
    <t>Si el Motivo de traslado es 08-Importacion o 09-Exportacion y no es un Traslado Total de la DAM o DS, debe consignar la Numeracion de la DAM o DS</t>
  </si>
  <si>
    <t>Si el Motivo de traslado es 08-Importacion o 09-Exportacion y no es un Traslado Total de la DAM o DS, debe consignar la Numero de serie en la DAM o DS</t>
  </si>
  <si>
    <t>La Partida arancelaria no esta en el listado de bienes normalizados</t>
  </si>
  <si>
    <t>La Numeracion de la DAM o DS no se encuentra consignado como documento relacionado</t>
  </si>
  <si>
    <t>El Numero de la serie en la DAM o DS no cumple con el formato establecido</t>
  </si>
  <si>
    <t>El Numero de la serie en la DAM o DS no coincide con algun numero de serie de la DAM o DS consignada</t>
  </si>
  <si>
    <t>La GRE remitente no existe</t>
  </si>
  <si>
    <t>Si existe una GRE Remitente como documento relacionado, el tipo y numero de documento de identidad del Destinatario deben ser los mismos que del destinatario consignado en la GRE Remitente</t>
  </si>
  <si>
    <t>Debe consignar el detalle de los bienes a transportar</t>
  </si>
  <si>
    <t>El campo de fecha de emision no cumple con el formato establecido</t>
  </si>
  <si>
    <t>No existe informacion en el campo de hora de emision</t>
  </si>
  <si>
    <t>El campo de hora de emision no cumple con el formato establecido</t>
  </si>
  <si>
    <t>El RUC no esta afecto a los tributos autorizados</t>
  </si>
  <si>
    <t>No se ha ingresado el tipo Declaracion Aduanera de Mercancias (DAM) o el Declaracion Simplificada (DS)  para el motivo de traslado selecionado</t>
  </si>
  <si>
    <t>El numero de documento relacionado al traslado de mercancias no cumple con el formato establecido</t>
  </si>
  <si>
    <t>El Numero de RUC del Proveedor debe coincidir con alguno de los Numero de RUC emisor de los documentos relacionados</t>
  </si>
  <si>
    <t>El Numero de RUC del Destinatario no existe</t>
  </si>
  <si>
    <t>El Numero de DNI del Destinatario no existe</t>
  </si>
  <si>
    <t>El tipo de documento relacionado no corresponde para motivo de traslado seleccionado</t>
  </si>
  <si>
    <t>El tipo de documento de identidad del Proveedor es invalido</t>
  </si>
  <si>
    <t>El tipo y numero de documento de identidad del Remitente no puede ser es el mismo que el Proveedor</t>
  </si>
  <si>
    <t>El XML no contiene el tag o no existe informacion del nombre o razon social del Proveedor</t>
  </si>
  <si>
    <t>Para la modalidad de traslado Privado no debe consignarse el 'Indicador de registro de vehiculos y conductores del transportista'</t>
  </si>
  <si>
    <t>Para la modalidad de traslado Publico no debe consignarse simultaneamente los indicadores 'Indicador de registro de vehiculos y conductores del transportista' e 'Indicador de traslado en vehiculos de categoria M1 o L'</t>
  </si>
  <si>
    <t>No debe ingresar informacion adicional de vehiculos (registros y/o autorizaciones)</t>
  </si>
  <si>
    <t>No debe ingresar informacion de vehiculos secundarios</t>
  </si>
  <si>
    <t>No debe ingresar informacion adicional de vehiculos secundarios</t>
  </si>
  <si>
    <t>No debe ingresar informacion del conductor principal</t>
  </si>
  <si>
    <t>No debe ingresar informacion del conductores secundarios</t>
  </si>
  <si>
    <t>El XML no contiene el atributo o no existe informacion en descripcion del motivo de traslado.</t>
  </si>
  <si>
    <t>El numero de item debe ser mayor a cero. Solo se permite colocar cero para consignar una anotacion opcional sobre los bienes a transportar.</t>
  </si>
  <si>
    <t>El dato ingresado como codigo del puerto no corresponde a un valor esperado</t>
  </si>
  <si>
    <t>El dato ingresado como codigo del aeropuerto no corresponde a un valor esperado</t>
  </si>
  <si>
    <t>El documento ya fue presentado anteriormente.</t>
  </si>
  <si>
    <t>4002</t>
  </si>
  <si>
    <t>Para el TaxTypeCode, esta usando un valor que no existe en el catalogo.</t>
  </si>
  <si>
    <t>4003</t>
  </si>
  <si>
    <t>El comprobante fue registrado previamente como rechazado.</t>
  </si>
  <si>
    <t>4004</t>
  </si>
  <si>
    <t>El DocumentTypeCode de las guias debe existir y tener 2 posiciones</t>
  </si>
  <si>
    <t>4005</t>
  </si>
  <si>
    <t>El DocumentTypeCode de las guias debe ser 09 o 31</t>
  </si>
  <si>
    <t>4006</t>
  </si>
  <si>
    <t>El ID de las guias debe tener informacion de la SERIE-NUMERO de guia.</t>
  </si>
  <si>
    <t>4007</t>
  </si>
  <si>
    <t>El XML no contiene el ID de las guias.</t>
  </si>
  <si>
    <t>4008</t>
  </si>
  <si>
    <t>El DocumentTypeCode de Otros documentos relacionados no cumple con el estandar.</t>
  </si>
  <si>
    <t>4009</t>
  </si>
  <si>
    <t>El DocumentTypeCode de Otros documentos relacionados tiene valores incorrectos.</t>
  </si>
  <si>
    <t>4010</t>
  </si>
  <si>
    <t>El ID de los documentos relacionados no cumplen con el estandar.</t>
  </si>
  <si>
    <t>4011</t>
  </si>
  <si>
    <t>El XML no contiene el tag ID de documentos relacionados.</t>
  </si>
  <si>
    <t>4012</t>
  </si>
  <si>
    <t>El ubigeo indicado en el comprobante no es el mismo que esta registrado para el contribuyente.</t>
  </si>
  <si>
    <t>4013</t>
  </si>
  <si>
    <t>El RUC  del receptor no esta activo</t>
  </si>
  <si>
    <t>4014</t>
  </si>
  <si>
    <t>El RUC del receptor no esta habido</t>
  </si>
  <si>
    <t>4015</t>
  </si>
  <si>
    <t>Si el tipo de documento del receptor no es RUC, debe tener operaciones de exportacion</t>
  </si>
  <si>
    <t>4016</t>
  </si>
  <si>
    <t>El total valor venta neta de oper. gravadas IGV debe ser mayor a 0.00 o debe existir oper. gravadas onerosas</t>
  </si>
  <si>
    <t>4017</t>
  </si>
  <si>
    <t>El total valor venta neta de oper. inafectas IGV debe ser mayor a 0.00 o debe existir oper. inafectas onerosas o de export.</t>
  </si>
  <si>
    <t>4018</t>
  </si>
  <si>
    <t>El total valor venta neta de oper. exoneradas IGV debe ser mayor a 0.00 o debe existir oper. exoneradas</t>
  </si>
  <si>
    <t>4019</t>
  </si>
  <si>
    <t>El calculo del IGV no es correcto</t>
  </si>
  <si>
    <t>4020</t>
  </si>
  <si>
    <t>El ISC no esta informado correctamente</t>
  </si>
  <si>
    <t>4021</t>
  </si>
  <si>
    <t>Si se utiliza la leyenda con codigo 2000, el importe de percepcion debe ser mayor a 0.00</t>
  </si>
  <si>
    <t>4022</t>
  </si>
  <si>
    <t>4023</t>
  </si>
  <si>
    <t>4024</t>
  </si>
  <si>
    <t>4025</t>
  </si>
  <si>
    <t>Si usa la leyenda de Transferencia o Servivicio gratuito, todos los items deben ser  no onerosos</t>
  </si>
  <si>
    <t>4026</t>
  </si>
  <si>
    <t>No se puede indicar Guia de remision de remitente y Guia de remision de transportista en el mismo documento</t>
  </si>
  <si>
    <t>4027</t>
  </si>
  <si>
    <t>El importe total no coincide con la sumatoria de los valores de venta mas los tributos mas los cargos</t>
  </si>
  <si>
    <t>4028</t>
  </si>
  <si>
    <t>4029</t>
  </si>
  <si>
    <t>El ubigeo indicado en el comprobante no es el mismo que esta registrado para el contribuyente</t>
  </si>
  <si>
    <t>Debe indicar el nombre comercial</t>
  </si>
  <si>
    <t>Si el código del motivo de emisión de la Nota de Credito es 03, debe existir la descripción del item</t>
  </si>
  <si>
    <t>La fecha de generación de la numeración debe ser menor o igual a la fecha de generación de la comunicación</t>
  </si>
  <si>
    <t>4034</t>
  </si>
  <si>
    <t>El comprobante fue registrado previamente como baja</t>
  </si>
  <si>
    <t>4035</t>
  </si>
  <si>
    <t>El comprobante fue registrado previamente como rechazado</t>
  </si>
  <si>
    <t>4036</t>
  </si>
  <si>
    <t>La fecha de emisión de los rangos debe ser menor o igual a la fecha de generación del resumen</t>
  </si>
  <si>
    <t>4037</t>
  </si>
  <si>
    <t>El calculo del Total de IGV del Item no es correcto</t>
  </si>
  <si>
    <t>4038</t>
  </si>
  <si>
    <t>El resumen contiene menos series por tipo de documento que el envío anterior para la misma fecha de emisión</t>
  </si>
  <si>
    <t>4039</t>
  </si>
  <si>
    <t>No ha consignado información del ubigeo del domicilio fiscal</t>
  </si>
  <si>
    <t>Si el importe de percepcion es mayor a 0.00, debe utilizar una leyenda con codigo 2000</t>
  </si>
  <si>
    <t>El codigo de pais debe ser PE</t>
  </si>
  <si>
    <t>Para tipo de operación se está usando un valor que no existe en el catálogo. Nro. 17.</t>
  </si>
  <si>
    <t>Para el TransportModeCode, se está usando un valor que no existe en el catálogo Nro. 18.</t>
  </si>
  <si>
    <t>PrepaidAmount: Monto total anticipado no coincide con la sumatoria de los montos por documento de anticipo.</t>
  </si>
  <si>
    <t>No debe consignar los datos del transportista para la modalidad de transporte 02 - Transporte Privado.</t>
  </si>
  <si>
    <t>No debe consignar información adicional en la dirección para los locales anexos.</t>
  </si>
  <si>
    <t>sac:SUNATTransaction/cbc:ID debe ser igual a 10 o igual a 11 cuando ingrese información para sustentar el traslado.</t>
  </si>
  <si>
    <t>cac:AdditionalDocumentReference/cbc:DocumentTypeCode - Contiene un valor no valido para documentos relacionado.</t>
  </si>
  <si>
    <t>El numero de DNI del receptor no existe.</t>
  </si>
  <si>
    <t>4050</t>
  </si>
  <si>
    <t>El numero de RUC del proveedor no existe.</t>
  </si>
  <si>
    <t>El RUC del proveedor no esta activo.</t>
  </si>
  <si>
    <t>El RUC del proveedor no esta habido.</t>
  </si>
  <si>
    <t>4053</t>
  </si>
  <si>
    <t>Proveedor no debe ser igual al remitente o destinatario.</t>
  </si>
  <si>
    <t>La guía no debe contener datos del proveedor.</t>
  </si>
  <si>
    <t>4055</t>
  </si>
  <si>
    <t>El XML no contiene el atributo o no existe información en descripcion del motivo de traslado.</t>
  </si>
  <si>
    <t>4056</t>
  </si>
  <si>
    <t>El XML no contiene el tag o no existe información en el tag SplitConsignmentIndicator.</t>
  </si>
  <si>
    <t>4057</t>
  </si>
  <si>
    <t>4058</t>
  </si>
  <si>
    <t>cbc:TotalPackageQuantity - El dato ingresado no cumple con el formato establecido.</t>
  </si>
  <si>
    <t>4059</t>
  </si>
  <si>
    <t>Numero de bultos o pallets - información válida para importación.</t>
  </si>
  <si>
    <t>La guía no debe contener datos del transportista.</t>
  </si>
  <si>
    <t>El numero de RUC del transportista no existe.</t>
  </si>
  <si>
    <t>El RUC del transportista no esta activo.</t>
  </si>
  <si>
    <t>El RUC del transportista no esta habido.</t>
  </si>
  <si>
    <t>/DespatchAdvice/cac:Shipment/cac:ShipmentStage/cac:TransportMeans/cbc:RegistrationNationalityID - El dato ingresado no cumple con el formato establecido.</t>
  </si>
  <si>
    <t>4065</t>
  </si>
  <si>
    <t>cac:TransportMeans/cbc:TransportMeansTypeCode - El valor ingresado como tipo de unidad de transporte es incorrecta.</t>
  </si>
  <si>
    <t>4066</t>
  </si>
  <si>
    <t>El numero de DNI del conductor no existe.</t>
  </si>
  <si>
    <t>4067</t>
  </si>
  <si>
    <t>El XML no contiene el tag o no existe informacion del ubigeo del punto de llegada.</t>
  </si>
  <si>
    <t>Direccion de punto de llegada - El dato ingresado no cumple con el formato establecido.</t>
  </si>
  <si>
    <t>4069</t>
  </si>
  <si>
    <t>CityName - El dato ingresado no cumple con el formato establecido.</t>
  </si>
  <si>
    <t>4070</t>
  </si>
  <si>
    <t>District - El dato ingresado no cumple con el formato establecido.</t>
  </si>
  <si>
    <t>Numero de Contenedor - El dato ingresado no cumple con el formato establecido.</t>
  </si>
  <si>
    <t>4072</t>
  </si>
  <si>
    <t>Numero de contenedor - información válida para importación.</t>
  </si>
  <si>
    <t>4073</t>
  </si>
  <si>
    <t>TransEquipmentTypeCode - El valor ingresado como tipo de contenedor es incorrecta.</t>
  </si>
  <si>
    <t>Numero Precinto - El dato ingresado no cumple con el formato establecido.</t>
  </si>
  <si>
    <t>4075</t>
  </si>
  <si>
    <t>El XML no contiene el tag o no existe informacion del ubigeo del punto de partida.</t>
  </si>
  <si>
    <t>Direccion de punto de partida - El dato ingresado no cumple con el formato establecido.</t>
  </si>
  <si>
    <t>4077</t>
  </si>
  <si>
    <t>4078</t>
  </si>
  <si>
    <t>4079</t>
  </si>
  <si>
    <t>Código de Puerto o Aeropuerto - El dato ingresado no cumple con el formato establecido.</t>
  </si>
  <si>
    <t>4080</t>
  </si>
  <si>
    <t>Tipo de Puerto o Aeropuerto - El dato ingresado no cumple con el formato establecido.</t>
  </si>
  <si>
    <t>4081</t>
  </si>
  <si>
    <t>El XML No contiene El tag o No existe información del Numero de orden del item.</t>
  </si>
  <si>
    <t>4082</t>
  </si>
  <si>
    <t>Número de Orden del Ítem - El orden del ítem no cumple con el formato establecido.</t>
  </si>
  <si>
    <t>4083</t>
  </si>
  <si>
    <t>Cantidad - El dato ingresado no cumple con el formato establecido.</t>
  </si>
  <si>
    <t>Descripción del Ítem - El dato ingresado no cumple con el formato establecido.</t>
  </si>
  <si>
    <t>Código del Ítem - El dato ingresado no cumple con el formato establecido.</t>
  </si>
  <si>
    <t>4086</t>
  </si>
  <si>
    <t>El emisor y el cliente son Agentes de percepción de combustible en la fecha de emisión.</t>
  </si>
  <si>
    <t>4087</t>
  </si>
  <si>
    <t>El Comprobante de Pago Electrónico no está Registrado en los Sistemas de la SUNAT.</t>
  </si>
  <si>
    <t>4088</t>
  </si>
  <si>
    <t>4089</t>
  </si>
  <si>
    <t>La operación con este cliente está excluida del sistema de percepción. Es agente de retención.</t>
  </si>
  <si>
    <t>4090</t>
  </si>
  <si>
    <t>La operación con este cliente está excluida del sistema de percepción. Es entidad exceptuada de la percepción.</t>
  </si>
  <si>
    <t>4091</t>
  </si>
  <si>
    <t>La operación con este proveedor está excluida del sistema de retención. Es agente de percepción, agente de retención o buen contribuyente.</t>
  </si>
  <si>
    <t>4092</t>
  </si>
  <si>
    <t>4093</t>
  </si>
  <si>
    <t>El codigo de ubigeo del domicilio fiscal del emisor no es válido</t>
  </si>
  <si>
    <t>4094</t>
  </si>
  <si>
    <t>4095</t>
  </si>
  <si>
    <t>4096</t>
  </si>
  <si>
    <t>4097</t>
  </si>
  <si>
    <t>4098</t>
  </si>
  <si>
    <t>4099</t>
  </si>
  <si>
    <t>4100</t>
  </si>
  <si>
    <t>El ubigeo del cliente no cumple con el formato establecido o no es válido</t>
  </si>
  <si>
    <t>4101</t>
  </si>
  <si>
    <t>4102</t>
  </si>
  <si>
    <t>4103</t>
  </si>
  <si>
    <t>4104</t>
  </si>
  <si>
    <t>4105</t>
  </si>
  <si>
    <t>4107</t>
  </si>
  <si>
    <t>El ubigeo del proveedor no cumple con el formato establecido o no es válido</t>
  </si>
  <si>
    <t>4108</t>
  </si>
  <si>
    <t>4109</t>
  </si>
  <si>
    <t>4110</t>
  </si>
  <si>
    <t>4111</t>
  </si>
  <si>
    <t>4112</t>
  </si>
  <si>
    <t>4120</t>
  </si>
  <si>
    <t>El XML no contiene o no existe informacion en el tag de  Información que sustenta el traslado.</t>
  </si>
  <si>
    <t>4121</t>
  </si>
  <si>
    <t>Para el tipo de operación no se consigna el tag SUNATEmbededDespatchAdvice de Información de sustento de traslado.</t>
  </si>
  <si>
    <t>4122</t>
  </si>
  <si>
    <t>Factura con información que sustenta el traslado, debe registrar leyenda 2008.</t>
  </si>
  <si>
    <t>4123</t>
  </si>
  <si>
    <t>sac:SUNATEmbededDespatchAdvice - Para Factura Electrónica Remitente no se consigna datos en documento de referencia(cac:OrderReference).</t>
  </si>
  <si>
    <t>4124</t>
  </si>
  <si>
    <t>cac:Shipment - Para Factura Electrónica Remitente debe indicar sujeto que realiza el traslado de bienes (1: Vendendor o 2: Comprador).</t>
  </si>
  <si>
    <t>4125</t>
  </si>
  <si>
    <t>cac:Shipment - Para Factura Electrónica Remitente debe indicar modalidad de transporte para el sustento de traslado de bienes (cbc:TransportModeCode).</t>
  </si>
  <si>
    <t>4126</t>
  </si>
  <si>
    <t>cac:Shipment - Debe indicar fecha de inicio de traslado para el  sustento de traslado de bienes (cac:TransitPeriod/cbc:StartDate).</t>
  </si>
  <si>
    <t>4127</t>
  </si>
  <si>
    <t>cac:Shipment - Para Factura Electrónica Remitente debe indicar el punto de llegada para el sustento de traslado de bienes (cac:DeliveryAddrees).</t>
  </si>
  <si>
    <t>4128</t>
  </si>
  <si>
    <t>cac:Shipment - Para Factura Electrónica Remitente debe indicar el punto de partida para el sustento de traslado de bienes (cac:OriginAddress).</t>
  </si>
  <si>
    <t>4129</t>
  </si>
  <si>
    <t>Para Factura Electrónica Remitente no se consigna indicador de subcontratación (cbc:MarkAttentionIndicator)</t>
  </si>
  <si>
    <t>4130</t>
  </si>
  <si>
    <t>sac:SUNATEmbededDespatchAdvice - Para Factura Electrónica Remitente debe consignar datos en documento de referencia (cac:OrderReference).</t>
  </si>
  <si>
    <t>4131</t>
  </si>
  <si>
    <t>sac:SUNATEmbededDespatchAdvice - Para Factura Electrónica Transportista no se consigna destinatario para el sustento de traslado de bienes (cac:DeliveryCustomerParty).</t>
  </si>
  <si>
    <t>4132</t>
  </si>
  <si>
    <t>cac:Shipment - Para Factura Electrónica Transportista no se consigna sujeto que realiza el traslado (cbc:HandlingCode).</t>
  </si>
  <si>
    <t>4133</t>
  </si>
  <si>
    <t>Para Factura Electrónica Transportista no se consigna peso total de la factura para el sustento de traslado de bienes (cbc:GrossWeightMeasure).</t>
  </si>
  <si>
    <t>4134</t>
  </si>
  <si>
    <t>cac:Shipment - Para Factura Electrónica Transportista no se consigna modalidad de transporte para el sustento de traslado de bienes (cbc:TransportModeCode).</t>
  </si>
  <si>
    <t>4135</t>
  </si>
  <si>
    <t>cac:Shipment - Para Factura Electrónica Transportista no se consigna punto de llegada para el sustento de traslado de bienes (cac:DeliveryAddress).</t>
  </si>
  <si>
    <t>4136</t>
  </si>
  <si>
    <t>cac:Shipment - Para Factura Electrónica Transportista no se consigna punto de partida para el sustento de traslado de bienes (cac:OriginAddress).</t>
  </si>
  <si>
    <t>4137</t>
  </si>
  <si>
    <t>cac:OrderReference - Debe consignar número de  documento de referencia que sustenta el traslado (./cbc:ID).</t>
  </si>
  <si>
    <t>4138</t>
  </si>
  <si>
    <t>cac:OrderReference - Debe consignar tipo de documento de referencia que sustenta el traslado (./cbc:OrderTypeCode).</t>
  </si>
  <si>
    <t>4139</t>
  </si>
  <si>
    <t>cac:OrderReference - Tipo de documento de referencia que sustenta el traslado no válido (01 - Factura o 09 - Guía de Remisión).</t>
  </si>
  <si>
    <t>4140</t>
  </si>
  <si>
    <t>cac:OrderReference - Serie-Numero ingresado en documento de referencia que sustenta el traslado no cumple con el formato establecido.</t>
  </si>
  <si>
    <t>4141</t>
  </si>
  <si>
    <t>cac:OrderReference - Debe consignar RUC emisor del documento de referencia que sustenta el traslado (./cac:DocumentReference/cac:IssuerParty/cac:PartyIdentification/cbc:ID).</t>
  </si>
  <si>
    <t>4142</t>
  </si>
  <si>
    <t>cac:OrderReference -  RUC emisor del documento de referencia que sustenta el traslado no cumple con el formato establecido.</t>
  </si>
  <si>
    <t>4143</t>
  </si>
  <si>
    <t>cac:OrderReference - RUC Emisor de documento de referencia que sustenta el traslado no existe o se encuentra dado de baja.</t>
  </si>
  <si>
    <t>4144</t>
  </si>
  <si>
    <t>cac:OrderReference - Documento de Referencia ingresado no corresponde a un comprobante electrónico declarado y activo en SUNAT.</t>
  </si>
  <si>
    <t>4145</t>
  </si>
  <si>
    <t>cac:OrderReference - Documento de Referencia ingresado no corresponde comprobante autorizado por SUNAT.</t>
  </si>
  <si>
    <t>4146</t>
  </si>
  <si>
    <t>cac:OrderReference - Nombre o razon social del emisodr de referencia que sustenta el traslado de bienes no cumple con un formato válido.</t>
  </si>
  <si>
    <t>4147</t>
  </si>
  <si>
    <t>Debe consignar numero de documento de identidad del destinatario</t>
  </si>
  <si>
    <t>4148</t>
  </si>
  <si>
    <t>Debe consignar tipo de documento de identidad del destinatario</t>
  </si>
  <si>
    <t>4149</t>
  </si>
  <si>
    <t>Tipo de documento de identidad del destinatario no válido (Catálogo N° 06)</t>
  </si>
  <si>
    <t>4150</t>
  </si>
  <si>
    <t>Numero de documento de identidad del destinatario no cumple con un formato válido</t>
  </si>
  <si>
    <t>4151</t>
  </si>
  <si>
    <t>Debe consignar apellidos y nombres, denominación o razón social del destinatario</t>
  </si>
  <si>
    <t>Nombre o razon social del destinatario no cumple con un formato válido</t>
  </si>
  <si>
    <t>4153</t>
  </si>
  <si>
    <t>cbc:HandlingCode - Sujeto que realiza el traslado no es valido.</t>
  </si>
  <si>
    <t>4154</t>
  </si>
  <si>
    <t>cbc:GrossWeightMeasure@unitCode: El valor ingresado en la unidad de medida para el peso bruto total no es correcta (KGM).</t>
  </si>
  <si>
    <t>4155</t>
  </si>
  <si>
    <t>GrossWeightMeasure - El valor ingresado no cumple con el estandar.</t>
  </si>
  <si>
    <t>4156</t>
  </si>
  <si>
    <t>Debe ingresar la totalidad de la información requerida al transportista.</t>
  </si>
  <si>
    <t>4157</t>
  </si>
  <si>
    <t>No existe información en el tag datos de conductores.</t>
  </si>
  <si>
    <t>4158</t>
  </si>
  <si>
    <t>No existe información en el tag datos de vehículos.</t>
  </si>
  <si>
    <t>4159</t>
  </si>
  <si>
    <t>No es necesario consignar los datos del transportista para una operación de Transporte Privado.</t>
  </si>
  <si>
    <t>4160</t>
  </si>
  <si>
    <t>cac:CarrierParty: Debe consignar número de  documento de identidad del transportista.</t>
  </si>
  <si>
    <t>4161</t>
  </si>
  <si>
    <t>cac:CarrierParty: Debe consignar tipo de documento de identidad del transportista.</t>
  </si>
  <si>
    <t>4162</t>
  </si>
  <si>
    <t>cac:CarrierParty: Tipo de documento de identidad del transportista debe ser 6-RUC</t>
  </si>
  <si>
    <t>4163</t>
  </si>
  <si>
    <t>cac:CarrierParty: Numero de documento de identidad del transportista no cumple con un formato válido.</t>
  </si>
  <si>
    <t>4164</t>
  </si>
  <si>
    <t>cac:CarrierParty: Debe consignar apellidos y nombres, denominación o razón social del transportista.</t>
  </si>
  <si>
    <t>cac:CarrierParty: nombre o razon social del transportista no cumple con un formato válido.</t>
  </si>
  <si>
    <t>4166</t>
  </si>
  <si>
    <t>cac: TransportHandlingUnit: Numero de placa (cbc:ID) no coincide con el numero de placa del vehiculo prinicipal.</t>
  </si>
  <si>
    <t>4167</t>
  </si>
  <si>
    <t>cac:RoadTransport/cbc:LicensePlateID: Numero de placa del vehículo no cumple con el formato válido.</t>
  </si>
  <si>
    <t>4168</t>
  </si>
  <si>
    <t>cac: TransportHandlingUnit: Numero de placa del vehículo principal no existe o no cumple con el formato válido (cbc:ID).</t>
  </si>
  <si>
    <t>4169</t>
  </si>
  <si>
    <t>cac:TransportEquipment: debe consignar al menos un vehiculo secundario.</t>
  </si>
  <si>
    <t>4170</t>
  </si>
  <si>
    <t>cac:TransportEquipment: Numero de placa del vehículo secundario no cumple con el formato válido (cbc:ID).</t>
  </si>
  <si>
    <t>4171</t>
  </si>
  <si>
    <t>cac:DriverPerson: Debe consignar número de  documento de identidad del conductor (cbc:ID).</t>
  </si>
  <si>
    <t>4172</t>
  </si>
  <si>
    <t>cac:DriverPerson: Debe consignar tipo de documento de identidad del conductor (cbc:ID/@schemeID).</t>
  </si>
  <si>
    <t>4173</t>
  </si>
  <si>
    <t>cac:DriverPerson: Tipo de documento de identidad del conductor no válido (Catalogo Nro 06).</t>
  </si>
  <si>
    <t>4174</t>
  </si>
  <si>
    <t>cac:DriverPerson: Numero de documento de identidad del conductor no cumple con el formato válido.</t>
  </si>
  <si>
    <t>4175</t>
  </si>
  <si>
    <t>cac:DeliveryAddress: Debe consignar código de ubigeo de punto de llegada (cbc:ID).</t>
  </si>
  <si>
    <t>4176</t>
  </si>
  <si>
    <t>El dato ingresado como código de ubigeo de punto de llegada no corresponde a un valor esperado (catalogo nro 13).</t>
  </si>
  <si>
    <t>4177</t>
  </si>
  <si>
    <t>cac:DeliveryAddress: Debe consignar código de ubigeo válido (Catálogo N° 13).</t>
  </si>
  <si>
    <t>cac:DeliveryAddress: Debe consignar Dirección del punto de llegada (cbc:StreetName).</t>
  </si>
  <si>
    <t>4179</t>
  </si>
  <si>
    <t>cac:DeliveryAddress: Dirección completa y detallada del punto de llegada no cumple con el formato válido.</t>
  </si>
  <si>
    <t>4180</t>
  </si>
  <si>
    <t>cac:OriginAddress: Debe consignar código de ubigeo de punto de partida (cbc:ID).</t>
  </si>
  <si>
    <t>4181</t>
  </si>
  <si>
    <t>El dato ingresado como código de ubigeo de punto de partida no corresponde a un valor esperado (catalogo nro 13).</t>
  </si>
  <si>
    <t>4182</t>
  </si>
  <si>
    <t>cac:OriginAddress: Debe consignar código de ubigeo válido (Catálogo N° 13).</t>
  </si>
  <si>
    <t>4183</t>
  </si>
  <si>
    <t>cac:OriginAddress: Debe consignar Dirección detallada del punto de partida (cbc:StreetName).</t>
  </si>
  <si>
    <t>4184</t>
  </si>
  <si>
    <t>cac:OriginAddres: Dirección completa y detallada del punto de partida no cumple con el estandar.</t>
  </si>
  <si>
    <t>4185</t>
  </si>
  <si>
    <t>cac:OrderReference - Serie y numero no se encuentra registrado como baja por cambio de destinatario.</t>
  </si>
  <si>
    <t>cbc:Note - El campo observaciones supera la cantidad maxima especificada (250 carácteres).</t>
  </si>
  <si>
    <t>4187</t>
  </si>
  <si>
    <t>cac:OrderReference - El campo Tipo de documento (descripción) supera la cantidad maxima especificada (50 carácteres).</t>
  </si>
  <si>
    <t>4188</t>
  </si>
  <si>
    <t>El XML no contiene el atributo o no existe información del nombre o razon social del tercero relacionado.</t>
  </si>
  <si>
    <t>4189</t>
  </si>
  <si>
    <t>El valor ingresado como tipo de documento del nombre o razon social del tercero relacionado es incorrecto.</t>
  </si>
  <si>
    <t>El valor ingresado como descripcion de motivo de traslado no cumple con el estandar.</t>
  </si>
  <si>
    <t>4191</t>
  </si>
  <si>
    <t>Para el motivo de traslado, no se consigna información en el numero de DAM.</t>
  </si>
  <si>
    <t>4192</t>
  </si>
  <si>
    <t>Para el motivo de traslado, no se consigna información del manifiesto de carga.</t>
  </si>
  <si>
    <t>4193</t>
  </si>
  <si>
    <t>El valor ingresado como indicador de transbordo programado no cumple con el estandar.</t>
  </si>
  <si>
    <t>4194</t>
  </si>
  <si>
    <t>El XML no contiene el atributo o no existe información en peso bruto total de la guia.</t>
  </si>
  <si>
    <t>4195</t>
  </si>
  <si>
    <t>Numero de bultos o pallets es una información válida solo para importación.</t>
  </si>
  <si>
    <t>4196</t>
  </si>
  <si>
    <t>La fecha de recepción en SUNAT es mayor a 1 hora(s) respecto a la fecha de comprobación por OSE</t>
  </si>
  <si>
    <t>4197</t>
  </si>
  <si>
    <t>4198</t>
  </si>
  <si>
    <t>4199</t>
  </si>
  <si>
    <t>4200</t>
  </si>
  <si>
    <t>4201</t>
  </si>
  <si>
    <t>EL monto del ISC se debe detallar a nivel de línea</t>
  </si>
  <si>
    <t>4202</t>
  </si>
  <si>
    <t>El valor ingresado como numero de DAM no cumple con el estandar</t>
  </si>
  <si>
    <t>4203</t>
  </si>
  <si>
    <t>4204</t>
  </si>
  <si>
    <t>Comprobante físico no se encuentra autorizado como comprobante de contingencia</t>
  </si>
  <si>
    <t>4207</t>
  </si>
  <si>
    <t>El DNI debe tener 8 caracteres numéricos</t>
  </si>
  <si>
    <t>4208</t>
  </si>
  <si>
    <t>4209</t>
  </si>
  <si>
    <t>El dato ingresado no cumple con el formato establecido</t>
  </si>
  <si>
    <t>4210</t>
  </si>
  <si>
    <t>4211</t>
  </si>
  <si>
    <t>El importe del campo /cac:LegalMonetaryTotal/cbc:TaxInclusiveAmount no coincide con el valor calculado</t>
  </si>
  <si>
    <t>4212</t>
  </si>
  <si>
    <t>4230</t>
  </si>
  <si>
    <t xml:space="preserve">El comprobante tiene observaciones que no han sido detectados </t>
  </si>
  <si>
    <t>4231</t>
  </si>
  <si>
    <t>El código de Ubigeo no existe en el listado.</t>
  </si>
  <si>
    <t>4232</t>
  </si>
  <si>
    <t>La sumatoria de los IGV de línea no corresponden al total</t>
  </si>
  <si>
    <t>4233</t>
  </si>
  <si>
    <t>El dato ingresado en order de compra no cumple con el formato establecido.</t>
  </si>
  <si>
    <t>4234</t>
  </si>
  <si>
    <t>El código de producto no cumple con el formato establecido</t>
  </si>
  <si>
    <t>No existe información en el nombre del concepto.</t>
  </si>
  <si>
    <t>4236</t>
  </si>
  <si>
    <t>El dato ingresado como direccion completa y detallada no cumple con el formato establecido.</t>
  </si>
  <si>
    <t>4237</t>
  </si>
  <si>
    <t>La tasa del tributo de la línea no corresponde al valor esperado</t>
  </si>
  <si>
    <t>4238</t>
  </si>
  <si>
    <t>El dato ingresado como urbanización no cumple con el formato establecido</t>
  </si>
  <si>
    <t>4239</t>
  </si>
  <si>
    <t>El dato ingresado como provincia no cumple con el formato establecido</t>
  </si>
  <si>
    <t>4240</t>
  </si>
  <si>
    <t>El dato ingresado como departamento no cumple con el formato establecido</t>
  </si>
  <si>
    <t>4241</t>
  </si>
  <si>
    <t>El dato ingresado como distrito no cumple con el formato establecido</t>
  </si>
  <si>
    <t>4242</t>
  </si>
  <si>
    <t>El dato ingresado como local anexo no cumple con el formato establecido</t>
  </si>
  <si>
    <t>4243</t>
  </si>
  <si>
    <t>Si se utiliza la leyenda con código 2007, el total de operaciones exoneradas debe ser mayor a 0.00</t>
  </si>
  <si>
    <t>4244</t>
  </si>
  <si>
    <t>4245</t>
  </si>
  <si>
    <t>4246</t>
  </si>
  <si>
    <t>El comprobante contiene un identificador de pago repetido en los anticipos</t>
  </si>
  <si>
    <t>4247</t>
  </si>
  <si>
    <t>El comprobante contiene un identificador de pago no relacionado a un documento de anticipo</t>
  </si>
  <si>
    <t>4248</t>
  </si>
  <si>
    <t>El comprobante contiene mas de un documento de anticipo relacionado al mismo identificador de pago.</t>
  </si>
  <si>
    <t>4249</t>
  </si>
  <si>
    <t>El código de motivo de traslado no existe en el listado (catalogo nro. 20)</t>
  </si>
  <si>
    <t>4250</t>
  </si>
  <si>
    <t>El dato ingresado como schemeAgencyName es incorrecto.</t>
  </si>
  <si>
    <t>El dato ingresado como atributo @listAgencyName es incorrecto.</t>
  </si>
  <si>
    <t>El dato ingresado como atributo @listName es incorrecto.</t>
  </si>
  <si>
    <t>El dato ingresado como atributo @listURI es incorrecto.</t>
  </si>
  <si>
    <t>El dato ingresado como atributo @listID es incorrecto.</t>
  </si>
  <si>
    <t>El dato ingresado como atributo @schemeName es incorrecto.</t>
  </si>
  <si>
    <t>El dato ingresado como atributo @schemeAgencyName es incorrecto.</t>
  </si>
  <si>
    <t>El dato ingresado como atributo @schemeURI es incorrecto.</t>
  </si>
  <si>
    <t>El dato ingresado como atributo @unitCodeListID es incorrecto.</t>
  </si>
  <si>
    <t>El dato ingresado como atributo @unitCodeListAgencyName es incorrecto.</t>
  </si>
  <si>
    <t>4260</t>
  </si>
  <si>
    <t>El dato ingresado como atributo @name es incorrecto.</t>
  </si>
  <si>
    <t>4261</t>
  </si>
  <si>
    <t>El dato ingresado como atributo @listSchemeURI es incorrecto.</t>
  </si>
  <si>
    <t>4262</t>
  </si>
  <si>
    <t>El XML no contiene el atributo o no existe lugar donde se entrega el bien para venta itinerante</t>
  </si>
  <si>
    <t>4263</t>
  </si>
  <si>
    <t xml:space="preserve">Si no es una venta itinerante, no corresponde consignar lugar donde se entrega el bien </t>
  </si>
  <si>
    <t>4264</t>
  </si>
  <si>
    <t>El XML no contiene el codigo de leyenda 2007 para el tipo de operación IVAP</t>
  </si>
  <si>
    <t>4265</t>
  </si>
  <si>
    <t>El XML no contiene el codigo de leyenda 2006 para tipo de operación de detracciones</t>
  </si>
  <si>
    <t>4266</t>
  </si>
  <si>
    <t>El XML no contiene el codigo de leyenda 2005 para el tipo de operación Venta itinerante</t>
  </si>
  <si>
    <t>4267</t>
  </si>
  <si>
    <t>El dato ingresado como codigo de producto GS1 no cumple con el formato establecido</t>
  </si>
  <si>
    <t>4268</t>
  </si>
  <si>
    <t>El dato ingresado como cargo/descuento no es valido a nivel de ítem.</t>
  </si>
  <si>
    <t>4269</t>
  </si>
  <si>
    <t>El dato ingresado como codigo de producto no cumple con el formato establecido.</t>
  </si>
  <si>
    <t>4270</t>
  </si>
  <si>
    <t>El dato ingresado como detalle del viaje no cumple con el formato establecido.</t>
  </si>
  <si>
    <t>4271</t>
  </si>
  <si>
    <t>El dato ingresado como descripcion del tramo no cumple con el formato establecido.</t>
  </si>
  <si>
    <t>4272</t>
  </si>
  <si>
    <t>El dato ingresado como valor refrencia del tramo virtual no cumple con el formato establecido.</t>
  </si>
  <si>
    <t>4273</t>
  </si>
  <si>
    <t>El dato ingresado como configuración vehicular no cumple con el formato establecido.</t>
  </si>
  <si>
    <t>4274</t>
  </si>
  <si>
    <t>El dato ingresado como tipo de carga util es incorrecto.</t>
  </si>
  <si>
    <t>4275</t>
  </si>
  <si>
    <t>El XML no contiene el tag o no existe información del valor de la carga en TM.</t>
  </si>
  <si>
    <t>4276</t>
  </si>
  <si>
    <t>El dato ingresado como valor de la carga en TM cumple con el formato establecido.</t>
  </si>
  <si>
    <t>4277</t>
  </si>
  <si>
    <t>El dato ingresado como unidad de medida de la carga  del vehiculo no corresponde al valor esperado.</t>
  </si>
  <si>
    <t>4278</t>
  </si>
  <si>
    <t>El dato ingresado como valor referencial de carga util nominal no cumple con el formato establecido.</t>
  </si>
  <si>
    <t>4279</t>
  </si>
  <si>
    <t>El dato ingresado como codigo de identificación de concepto tributario no es valido (catalogo nro 55)</t>
  </si>
  <si>
    <t>4280</t>
  </si>
  <si>
    <t>El dato ingresado como valor del concepto de la linea no cumple con el formato establecido.</t>
  </si>
  <si>
    <t>4281</t>
  </si>
  <si>
    <t>El dato ingresado como cantidad del concepto de la linea no cumple con el formato establecido.</t>
  </si>
  <si>
    <t>4282</t>
  </si>
  <si>
    <t>La fecha de ingreso al establecimiento es mayor a la fecha de salida al establecimiento.</t>
  </si>
  <si>
    <t>4283</t>
  </si>
  <si>
    <t>El dato ingresado como atributo @schemeID es incorrecto.</t>
  </si>
  <si>
    <t>4284</t>
  </si>
  <si>
    <t>El cargo/descuento consignado no es permitido para el tipo de comprobante</t>
  </si>
  <si>
    <t>4285</t>
  </si>
  <si>
    <t>El emisor a la fecha no se encuentra registrado ó habilitado con la condición de Agente de percepción</t>
  </si>
  <si>
    <t>4286</t>
  </si>
  <si>
    <t>Si ha consignado Transporte Publico, debe consignar Datos del transportista.</t>
  </si>
  <si>
    <t>4287</t>
  </si>
  <si>
    <t>4288</t>
  </si>
  <si>
    <t>4289</t>
  </si>
  <si>
    <t>4290</t>
  </si>
  <si>
    <t>4291</t>
  </si>
  <si>
    <t>El dato ingresado como cargo/descuento no es valido a nivel global.</t>
  </si>
  <si>
    <t>4292</t>
  </si>
  <si>
    <t xml:space="preserve">Sólo hasta el 31.08.2019 se encuentra exceptuado de utilizar la versión 2.1 del estándar UBL </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</si>
  <si>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</si>
  <si>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</si>
  <si>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</si>
  <si>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</si>
  <si>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</si>
  <si>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</si>
  <si>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</si>
  <si>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</si>
  <si>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</si>
  <si>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</si>
  <si>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</si>
  <si>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</si>
  <si>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</si>
  <si>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</si>
  <si>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</si>
  <si>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</si>
  <si>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</si>
  <si>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</si>
  <si>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</si>
  <si>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</si>
  <si>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</si>
  <si>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El dato ingresado como unidad de medida de los dias de permanencia no corresponde al valor esperado.</t>
  </si>
  <si>
    <t>4314</t>
  </si>
  <si>
    <t>4315</t>
  </si>
  <si>
    <t>La moneda debe ser la misma en todo el documento. Salvo las percepciones que sólo son en moneda nacional.</t>
  </si>
  <si>
    <t>4316</t>
  </si>
  <si>
    <t>4317</t>
  </si>
  <si>
    <t>4318</t>
  </si>
  <si>
    <t>El dato ingresado en el campo cac:TaxSubtotal/cbc:TaxAmount del ítem no coincide con el valor calculado</t>
  </si>
  <si>
    <t>4321</t>
  </si>
  <si>
    <t>4322</t>
  </si>
  <si>
    <t>4323</t>
  </si>
  <si>
    <t>El dato ingresado como tipo de usuario no corresponde al valor esperado</t>
  </si>
  <si>
    <t>4324</t>
  </si>
  <si>
    <t>El dato ingresado como tipo de tarifa contratada no corresponde al valor esperado</t>
  </si>
  <si>
    <t>4326</t>
  </si>
  <si>
    <t>Para Factura Electrónica Transportista debe indicar el número de constancia de inscripcion del vehiculo o certificado de habilitación vehicular</t>
  </si>
  <si>
    <t>4327</t>
  </si>
  <si>
    <t>Para Factura Electrónica Transportista debe consignar el indicador de subcontratacion</t>
  </si>
  <si>
    <t>4328</t>
  </si>
  <si>
    <t>El valor del indicador de subcontratacion no corresponde al valor esperado</t>
  </si>
  <si>
    <t>4329</t>
  </si>
  <si>
    <t>Para factura electrónica remitente debe consignar el motivo de traslado</t>
  </si>
  <si>
    <t>4330</t>
  </si>
  <si>
    <t xml:space="preserve">Para factura electrónica tranportista debe indicar la GRE remitente o FE remitente  </t>
  </si>
  <si>
    <t>4331</t>
  </si>
  <si>
    <t>Debe consignar obligatoriamente Codigo de producto SUNAT o Codigo de producto GTIN</t>
  </si>
  <si>
    <t>4332</t>
  </si>
  <si>
    <t>El Código producto de SUNAT no es válido</t>
  </si>
  <si>
    <t>4333</t>
  </si>
  <si>
    <t>4334</t>
  </si>
  <si>
    <t>4336</t>
  </si>
  <si>
    <t>A partir del 1 de julio de 2019 se encuentra obligado a emitir a traves de SEE-OSE y/o SEE-SOL</t>
  </si>
  <si>
    <t>4337</t>
  </si>
  <si>
    <t>El Codigo de producto SUNAT debe especificarse como minimo al tercer nivel jerarquico (a nivel de clase del codigo UNSPSC)</t>
  </si>
  <si>
    <t>4339</t>
  </si>
  <si>
    <t>El codigo de ubigeo del domicilio del vendedor no es válido</t>
  </si>
  <si>
    <t>4340</t>
  </si>
  <si>
    <t>4341</t>
  </si>
  <si>
    <t>La urbanización del domicilio del vendedor no cumple con el formato establecido</t>
  </si>
  <si>
    <t>4342</t>
  </si>
  <si>
    <t>La provincia del domicilio del vendedor no cumple con el formato establecido</t>
  </si>
  <si>
    <t>4343</t>
  </si>
  <si>
    <t>El departamento del domicilio del vendedor no cumple con el formato establecido</t>
  </si>
  <si>
    <t>4344</t>
  </si>
  <si>
    <t>El distrito del domicilio del vendedor no cumple con el formato establecido</t>
  </si>
  <si>
    <t>4345</t>
  </si>
  <si>
    <t>El monto base global de la retencion de renta no coincide con el valor calculado</t>
  </si>
  <si>
    <t>4346</t>
  </si>
  <si>
    <t>El importe de la retencion de renta no coincide con el valor calculado</t>
  </si>
  <si>
    <t>4347</t>
  </si>
  <si>
    <t>4348</t>
  </si>
  <si>
    <t>El importe del campo /cac:InvoiceLine/cac:ItemPriceExtension/cbc:Amount no coincide con el valor calculado</t>
  </si>
  <si>
    <t>4349</t>
  </si>
  <si>
    <t>El importe del campo /cac:InvoiceLine/cac:SubInvoiceLine/cac:ItemPriceExtension/cbc:Amount no coincide con el valor calculado</t>
  </si>
  <si>
    <t>4350</t>
  </si>
  <si>
    <t>El nombre o razon social registrado no cumple con el estandar</t>
  </si>
  <si>
    <t>4351</t>
  </si>
  <si>
    <t>El Numero de RUC no esta activo</t>
  </si>
  <si>
    <t>4352</t>
  </si>
  <si>
    <t>El Numero de RUC es no habido</t>
  </si>
  <si>
    <t>4353</t>
  </si>
  <si>
    <t>Si 'Tipo de documento de identidad' es '6', el formato del Tag UBL es diferente a numérico de 11 dígitos</t>
  </si>
  <si>
    <t>4354</t>
  </si>
  <si>
    <t>El importe del campo /cac:InvoiceLine/cbc:LineExtensionAmount no coincide con el valor calculado</t>
  </si>
  <si>
    <t>4355</t>
  </si>
  <si>
    <t>El importe del campo /cac:InvoiceLine/cac:SubInvoiceLine/cbc:LineExtensionAmount no coincide con el valor calculado</t>
  </si>
  <si>
    <t>4356</t>
  </si>
  <si>
    <t>El importe del campo /cac:SubInvoiceLine/cac:TaxTotal/cbc:TaxAmount no coincide con el valor calculado</t>
  </si>
  <si>
    <t>4357</t>
  </si>
  <si>
    <t>El dato ingresado como cargo/descuento no es valido a nivel de /cac:SubInvoiceLine</t>
  </si>
  <si>
    <t>4358</t>
  </si>
  <si>
    <t>El valor de cargo/descuento a nivel de /cac:SubInvoiceLine difiere de los importes consignados.</t>
  </si>
  <si>
    <t>4359</t>
  </si>
  <si>
    <t>El monto de ISC de la línea no coincide con el valor calculado</t>
  </si>
  <si>
    <t>4360</t>
  </si>
  <si>
    <t>El monto de IGV de la línea no coincide con el valor calculado</t>
  </si>
  <si>
    <t>4361</t>
  </si>
  <si>
    <t>El codigo de leyenda no existe</t>
  </si>
  <si>
    <t>4362</t>
  </si>
  <si>
    <t>El codigo de leyenda no debe repetirse en el comprobante</t>
  </si>
  <si>
    <t>4363</t>
  </si>
  <si>
    <t>El importe del campo /cac:LegalMonetaryTotal/cbc:PayableAmount no coincide con el valor calculado</t>
  </si>
  <si>
    <t>4364</t>
  </si>
  <si>
    <t>Para entidades emisoras locales debe informar el detalle de las comisiones y cargos</t>
  </si>
  <si>
    <t>4365</t>
  </si>
  <si>
    <t>El monto de IGV a nivel de /cac:SubInvoiceLine no coincide con el valor calculado</t>
  </si>
  <si>
    <t>4366</t>
  </si>
  <si>
    <t>4367</t>
  </si>
  <si>
    <t>El tipo de nota de crédito 04, 05 y 08 no debería estar vinculado a una boleta</t>
  </si>
  <si>
    <t>4368</t>
  </si>
  <si>
    <t>El dato ingresado como numero de autorizacion del Remitente no cumple con el formato establecido</t>
  </si>
  <si>
    <t>El XML no contiene el tag o no existe informacion del nombre o razon social de quien paga el servicio</t>
  </si>
  <si>
    <t>El XML no contiene el tag o no existe informacion de la descripcion del tipo de documento relacionado</t>
  </si>
  <si>
    <t>La descripcion del tipo de documento relacionado no cumple con el estandar</t>
  </si>
  <si>
    <t>El RUC del Destinatario no esta activo</t>
  </si>
  <si>
    <t>El RUC del destinatario no esta habido</t>
  </si>
  <si>
    <t>Corresponde ingresar informacion del Proveedor</t>
  </si>
  <si>
    <t>Solo debe consignar informacion de hasta dos conductores secundarios</t>
  </si>
  <si>
    <t>Para el motivo de traslado no corresponde consignar informacion del Comprador</t>
  </si>
  <si>
    <t>Para el motivo de traslado debe existir informacion del Comprador</t>
  </si>
  <si>
    <t>El RUC del Comprador no esta activo</t>
  </si>
  <si>
    <t>El RUC del Comprador no esta habido</t>
  </si>
  <si>
    <t>El nombre o razon social del Comprador no cumple con el formato establecido</t>
  </si>
  <si>
    <t>El numero de comprobante consignado como documento relacionado no existe</t>
  </si>
  <si>
    <t>Si el motivo de traslado es Importacion o Exportacion y no se trata de un traslado total de la DAM o DS, debe indicar el Peso bruto total de los items seleccionados</t>
  </si>
  <si>
    <t>El valor ingresado como numero de bultos o pallets no cumple con el estandar</t>
  </si>
  <si>
    <t>No ha ingresado el campo de “Fecha de entrega de bienes al transportista” o esta vacio</t>
  </si>
  <si>
    <t>La Fecha de entrega de bienes al transportista debe ser mayor o igual a la Fecha de emision del documento</t>
  </si>
  <si>
    <t>Si el motivo de traslado es Importacion o Exportacion y no se trata de un traslado total de la DAM o DS, debe indicar el Sustento de la diferencia del Peso bruto total de la carga</t>
  </si>
  <si>
    <t>Debe consignar el Indicador de pagador de flete</t>
  </si>
  <si>
    <t>Solo corresponde consignar hasta dos vehiculos secundarios</t>
  </si>
  <si>
    <t>4390</t>
  </si>
  <si>
    <t>Debe consignar la Constancia de Deposito el tratarse de un bien normalizado</t>
  </si>
  <si>
    <t>El Numero de Registro MTC del transportista no existe o no contiene informacion</t>
  </si>
  <si>
    <t>El Numero de Registro MTC del transportista no cumple con el formato establecido</t>
  </si>
  <si>
    <t>El Numero de Registro MTC del transportista no se encuentra en las bases consultadas</t>
  </si>
  <si>
    <t>Debe indicar la entidad autorizadora de la autorizacion especial</t>
  </si>
  <si>
    <t>El Codigo de entidad autorizadora es invalido</t>
  </si>
  <si>
    <t>El Numero de autorizacion del transportista no cumple con el formato establecido</t>
  </si>
  <si>
    <t>SI existe el Codigo de entidad autorizadora, debe consignar el Numero de autorizacion especial de la empresa</t>
  </si>
  <si>
    <t>El Numero de placa no se encuentra en las bases consultadas</t>
  </si>
  <si>
    <t>No ha consignado el Numero de Constancia de Inscripcion Vehicular o Certificado de Habilitacion Vehicular o la TUC (fisica o electronica)</t>
  </si>
  <si>
    <t>El Numero de Constancia de Inscripcion Vehicular o Certificado de Habilitacion Vehicular o la TUC (fisica o electronica) no se encuentra en las bases consultadas</t>
  </si>
  <si>
    <t>El XML no contiene el tag o no existe informacion del tipo de documento de identidad de quien paga el servicio</t>
  </si>
  <si>
    <t>El XML no contiene el atributo o no existe informacion del numero de documento de identidad de quien paga el servicio</t>
  </si>
  <si>
    <t>Debe indicar la entidad autorizadora del vehiculo</t>
  </si>
  <si>
    <t xml:space="preserve">La SUNAT no cuenta con la informacion en los ultimos 15 dias de la Constancia de Deposito en sus sistemas </t>
  </si>
  <si>
    <t>Si existe el Codigo de entidad autorizadora, debe consignar el Numero de autorizacion especial del vehiculo</t>
  </si>
  <si>
    <t>El Numero de autorizacion del vehiculo no cumple con el formato establecido</t>
  </si>
  <si>
    <t>El Codigo de entidad autorizadora del vehiculo no corresponde a un valor esperado</t>
  </si>
  <si>
    <t>4408</t>
  </si>
  <si>
    <t>Si consigna datos del vehiculo secundario, debe existir datos del vehiculo principal</t>
  </si>
  <si>
    <t>Los nombres y/o apellidos del conductor no cumplen con el formato establecido</t>
  </si>
  <si>
    <t>Si existe descripcion del documento relacionado debe existir informacion del codigo y numero del documento relacionado</t>
  </si>
  <si>
    <t>4411</t>
  </si>
  <si>
    <t>Si consigna datos del conductor secundario, debe existir datos del conductor principal</t>
  </si>
  <si>
    <t>El Numero de licencia de conducir no se encuentra en las bases consultadas</t>
  </si>
  <si>
    <t>SI ingresa el Tipo de locacion debe consignar el Codigo de puerto/aeropuerto</t>
  </si>
  <si>
    <t>4414</t>
  </si>
  <si>
    <t>El dato ingresado como Codigo del puerto no corresponde a un valor esperado</t>
  </si>
  <si>
    <t>SI ingresa el Codigo del puerto/aeropuerto debe consignar el Tipo de locacion</t>
  </si>
  <si>
    <t>El dato ingresado como Tipo de locacion no corresponde a un valor esperado</t>
  </si>
  <si>
    <t>4417</t>
  </si>
  <si>
    <t>El dato ingresado como Codigo del aeropuerto no corresponde a un valor esperado</t>
  </si>
  <si>
    <t>El Nombre del Puerto o Aeropuerto no existe o no contiene informacion</t>
  </si>
  <si>
    <t>4419</t>
  </si>
  <si>
    <t>La Partida arancelaria para bienes regulados por SUNAT (Indicador de bien normalizado) no contiene informacion o no existe</t>
  </si>
  <si>
    <t>El Numero de RUC del Remitente no esta activo</t>
  </si>
  <si>
    <t>El Numero de RUC del Remitente no esta habido</t>
  </si>
  <si>
    <t>El nombre o razon social del Remitente no cumple con el formato establecido</t>
  </si>
  <si>
    <t>El nombre o razon social de quien paga el servicio no cumple con el formato establecido</t>
  </si>
  <si>
    <t>El XML no contiene el tag o no existe informacion del numero de documento de identidad del subcontratador</t>
  </si>
  <si>
    <t>El XML no contiene el atributo o no existe informacion del tipo de documento de identidad del subcontratador</t>
  </si>
  <si>
    <t>El XML no contiene el atributo o no existe informacion del nombre o razon social del subcontratador</t>
  </si>
  <si>
    <t>El nombre/razon social del subcontratador no cumple con el formato establecido</t>
  </si>
  <si>
    <t>El Sustento de la diferencia del Peso bruto total de la carga no cumple con el formato establecido</t>
  </si>
  <si>
    <t>La anotacion opcional sobre los bienes a transportar no existe o no contiene informacion</t>
  </si>
  <si>
    <t>La anotacion opcional sobre los bienes a transportar no cumple con el formato establecido</t>
  </si>
  <si>
    <t>Si en caso el motivo de traslado de la guia remision remitente es Traslado emisor itinerante CP no corresponde informar codigo de ubigeo del punto de llegada</t>
  </si>
  <si>
    <t>La Constancia de Deposito ingresada ya ha sido referenciada en otra GRE emitida por el mismo remitente</t>
  </si>
  <si>
    <t>4433</t>
  </si>
  <si>
    <t>Si el motivo de traslado de la guia remitente es 18 - Traslado emisor itinerante CP no corresponde informar la direccion detalla del punto de llegada</t>
  </si>
  <si>
    <t>No corresponde consignar el detalle de los bienes a transportar</t>
  </si>
  <si>
    <t>El tipo y numero de documento de identidad del destinatario es diferente al del importador que figura en la(s) DAM / DS</t>
  </si>
  <si>
    <t>Ya se ha emitido una GRE por esta DAM o DS. La generacion de la GRE sera bajo su responsabilidad pues no se cuenta con saldo suficiente para este tipo de traslado</t>
  </si>
  <si>
    <t>El control de los saldos pendientes de traslado es responsabilidad del contribuyente</t>
  </si>
  <si>
    <t>tipDocSubcontratador</t>
  </si>
  <si>
    <t>numDocSubcontratador</t>
  </si>
  <si>
    <t>rznSocialSubcontratador</t>
  </si>
  <si>
    <t>tipDocPagaServicio</t>
  </si>
  <si>
    <t>numDocPagaServicio</t>
  </si>
  <si>
    <t>rznSocialPagaServicio</t>
  </si>
  <si>
    <t>Ubigeo de  Partida / Llegada</t>
  </si>
  <si>
    <t>Dirección completa y detallada de  Partida / Llegada</t>
  </si>
  <si>
    <t>Punto de georreferencia de  Partida / Llegada
(Longitud)</t>
  </si>
  <si>
    <t>Punto de georreferencia de  Partida / Llegada
 (Latitud)</t>
  </si>
  <si>
    <t>Número de RUC  asociado al punto de  Partida / Llegada</t>
  </si>
  <si>
    <t>Código de establecimiento de punto de Partida / Llegada</t>
  </si>
  <si>
    <t>tipDireccionPartidaLlegada</t>
  </si>
  <si>
    <t>ubiPartidaLlegada</t>
  </si>
  <si>
    <t>dirPartidaLlegada</t>
  </si>
  <si>
    <t>rucAsociadoPartidaLlegada</t>
  </si>
  <si>
    <t>codEstablecimientoPartidaLlegada</t>
  </si>
  <si>
    <t>longitudGeorreferenciaPartidaLlegada</t>
  </si>
  <si>
    <t>latitudGeorreferenciaPartidaLlegada</t>
  </si>
  <si>
    <t>tipDocuRemitenteSwf</t>
  </si>
  <si>
    <t>nroRuc RemitenteSwf</t>
  </si>
  <si>
    <t>razonSocialRemitenteSwf</t>
  </si>
  <si>
    <t>nroAutorizacionRemitenteSwf</t>
  </si>
  <si>
    <t>codEntidadAutorizadoraRemitenteSwf</t>
  </si>
  <si>
    <t>tipDocProveedor</t>
  </si>
  <si>
    <t>numDocProveedor</t>
  </si>
  <si>
    <t>rznSociaProveedor</t>
  </si>
  <si>
    <t>tipDocComprador</t>
  </si>
  <si>
    <t>numDocComprador</t>
  </si>
  <si>
    <t>rznSocialComprador</t>
  </si>
  <si>
    <t>nroRucRemitenteSwf</t>
  </si>
  <si>
    <t>uniMedidaPesoBrutoBienesDatosEnvio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</si>
</sst>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Calibri"/>
      <family val="2"/>
      <scheme val="minor"/>
    </font>
    <font>
      <b/>
      <sz val="11"/>
      <color theme="1"/>
      <name val="Calibri"/>
      <family val="2"/>
      <scheme val="minor"/>
    </font>
    <font>
      <b/>
      <sz val="11"/>
      <name val="Calibri"/>
      <family val="2"/>
      <scheme val="minor"/>
    </font>
    <font>
      <b/>
      <sz val="14"/>
      <name val="Calibri"/>
      <family val="2"/>
      <scheme val="minor"/>
    </font>
    <font>
      <sz val="16"/>
      <color theme="1"/>
      <name val="Calibri"/>
      <family val="2"/>
      <scheme val="minor"/>
    </font>
    <font>
      <u/>
      <sz val="11"/>
      <color theme="10"/>
      <name val="Calibri"/>
      <family val="2"/>
      <scheme val="minor"/>
    </font>
    <font>
      <b/>
      <sz val="10"/>
      <name val="Calibri"/>
      <family val="2"/>
      <scheme val="minor"/>
    </font>
    <font>
      <sz val="9"/>
      <name val="Calibri"/>
      <family val="2"/>
      <scheme val="minor"/>
    </font>
    <font>
      <b/>
      <sz val="9"/>
      <color theme="1"/>
      <name val="Calibri"/>
      <family val="2"/>
      <scheme val="minor"/>
    </font>
    <font>
      <b/>
      <sz val="9"/>
      <name val="Calibri"/>
      <family val="2"/>
      <scheme val="minor"/>
    </font>
    <font>
      <b/>
      <i/>
      <sz val="9"/>
      <name val="Calibri"/>
      <family val="2"/>
      <scheme val="minor"/>
    </font>
    <font>
      <i/>
      <sz val="9"/>
      <name val="Calibri"/>
      <family val="2"/>
      <scheme val="minor"/>
    </font>
    <font>
      <strike/>
      <sz val="9"/>
      <name val="Calibri"/>
      <family val="2"/>
      <scheme val="minor"/>
    </font>
    <font>
      <b/>
      <sz val="10"/>
      <color theme="1"/>
      <name val="Calibri"/>
      <family val="2"/>
      <scheme val="minor"/>
    </font>
    <font>
      <sz val="10"/>
      <color theme="1"/>
      <name val="Calibri"/>
      <family val="2"/>
      <scheme val="minor"/>
    </font>
    <font>
      <u/>
      <sz val="9.8000000000000007"/>
      <color theme="10"/>
      <name val="Calibri"/>
      <family val="2"/>
    </font>
    <font>
      <u/>
      <sz val="10"/>
      <color theme="10"/>
      <name val="Calibri"/>
      <family val="2"/>
      <scheme val="minor"/>
    </font>
    <font>
      <i/>
      <sz val="10"/>
      <color theme="1"/>
      <name val="Calibri"/>
      <family val="2"/>
      <scheme val="minor"/>
    </font>
    <font>
      <sz val="10"/>
      <name val="Calibri"/>
      <family val="2"/>
    </font>
    <font>
      <sz val="10"/>
      <name val="Calibri"/>
      <family val="2"/>
      <scheme val="minor"/>
    </font>
    <font>
      <sz val="10"/>
      <color rgb="FF000000"/>
      <name val="Calibri"/>
      <family val="2"/>
      <scheme val="minor"/>
    </font>
    <font>
      <sz val="10"/>
      <color rgb="FF000000"/>
      <name val="Calibri"/>
      <family val="2"/>
    </font>
    <font>
      <b/>
      <sz val="9"/>
      <color rgb="FF000000"/>
      <name val="Arial"/>
      <family val="2"/>
    </font>
    <font>
      <sz val="9"/>
      <color theme="1"/>
      <name val="Calibri"/>
      <family val="2"/>
      <scheme val="minor"/>
    </font>
  </fonts>
  <fills count="14">
    <fill>
      <patternFill patternType="none"/>
    </fill>
    <fill>
      <patternFill patternType="gray125"/>
    </fill>
    <fill>
      <patternFill patternType="solid">
        <fgColor rgb="FF4F81BD"/>
        <bgColor indexed="64"/>
      </patternFill>
    </fill>
    <fill>
      <patternFill patternType="solid">
        <fgColor theme="0"/>
        <bgColor indexed="64"/>
      </patternFill>
    </fill>
    <fill>
      <patternFill patternType="solid">
        <fgColor rgb="FF00B0F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4" tint="0.79998168889431442"/>
        <bgColor indexed="64"/>
      </patternFill>
    </fill>
  </fills>
  <borders count="21">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theme="0" tint="-0.249977111117893"/>
      </left>
      <right style="thin">
        <color theme="0" tint="-0.249977111117893"/>
      </right>
      <top/>
      <bottom/>
      <diagonal/>
    </border>
    <border>
      <left style="thin">
        <color indexed="64"/>
      </left>
      <right style="thin">
        <color theme="0" tint="-0.249977111117893"/>
      </right>
      <top style="thin">
        <color indexed="64"/>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indexed="64"/>
      </right>
      <top style="thin">
        <color indexed="64"/>
      </top>
      <bottom style="thin">
        <color indexed="64"/>
      </bottom>
      <diagonal/>
    </border>
    <border>
      <left/>
      <right style="thin">
        <color theme="0" tint="-0.249977111117893"/>
      </right>
      <top style="thin">
        <color indexed="64"/>
      </top>
      <bottom style="thin">
        <color indexed="64"/>
      </bottom>
      <diagonal/>
    </border>
    <border>
      <left/>
      <right style="thin">
        <color indexed="64"/>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3">
    <xf numFmtId="0" fontId="0" fillId="0" borderId="0"/>
    <xf numFmtId="0" fontId="5" fillId="0" borderId="0" applyNumberFormat="0" applyFill="0" applyBorder="0" applyAlignment="0" applyProtection="0"/>
    <xf numFmtId="0" fontId="15" fillId="0" borderId="0" applyNumberFormat="0" applyFill="0" applyBorder="0" applyAlignment="0" applyProtection="0">
      <alignment vertical="top"/>
      <protection locked="0"/>
    </xf>
  </cellStyleXfs>
  <cellXfs count="383">
    <xf numFmtId="0" fontId="0" fillId="0" borderId="0" xfId="0"/>
    <xf numFmtId="0" fontId="3" fillId="0" borderId="0" xfId="0" applyFont="1" applyAlignment="1">
      <alignment horizontal="left" vertical="center"/>
    </xf>
    <xf numFmtId="0" fontId="0" fillId="0" borderId="0" xfId="0" applyFill="1"/>
    <xf numFmtId="49" fontId="7" fillId="0" borderId="2" xfId="0" applyNumberFormat="1" applyFont="1" applyFill="1" applyBorder="1" applyAlignment="1">
      <alignment horizontal="center" vertical="top" wrapText="1"/>
    </xf>
    <xf numFmtId="49" fontId="7" fillId="0" borderId="2" xfId="0" applyNumberFormat="1" applyFont="1" applyFill="1" applyBorder="1" applyAlignment="1">
      <alignment horizontal="center" vertical="center" wrapText="1"/>
    </xf>
    <xf numFmtId="0" fontId="7" fillId="0" borderId="2" xfId="0" applyFont="1" applyFill="1" applyBorder="1" applyAlignment="1">
      <alignment horizontal="center" vertical="top" wrapText="1"/>
    </xf>
    <xf numFmtId="0" fontId="7" fillId="3" borderId="0" xfId="0" applyFont="1" applyFill="1" applyAlignment="1">
      <alignment vertical="top" wrapText="1"/>
    </xf>
    <xf numFmtId="0" fontId="9" fillId="3" borderId="0" xfId="0" applyFont="1" applyFill="1" applyAlignment="1">
      <alignment vertical="top"/>
    </xf>
    <xf numFmtId="0" fontId="7" fillId="0" borderId="0" xfId="0" applyFont="1" applyAlignment="1">
      <alignment vertical="top" wrapText="1"/>
    </xf>
    <xf numFmtId="0" fontId="7" fillId="3" borderId="0" xfId="0" applyFont="1" applyFill="1" applyAlignment="1">
      <alignment horizontal="center" vertical="top" wrapText="1"/>
    </xf>
    <xf numFmtId="0" fontId="7" fillId="3" borderId="0" xfId="0" applyFont="1" applyFill="1" applyAlignment="1">
      <alignment horizontal="left" vertical="top" wrapText="1"/>
    </xf>
    <xf numFmtId="49" fontId="7" fillId="3" borderId="0" xfId="0" applyNumberFormat="1" applyFont="1" applyFill="1" applyAlignment="1">
      <alignment horizontal="center" vertical="top" wrapText="1"/>
    </xf>
    <xf numFmtId="0" fontId="9" fillId="3" borderId="0" xfId="0" applyFont="1" applyFill="1" applyAlignment="1">
      <alignment vertical="top" wrapText="1"/>
    </xf>
    <xf numFmtId="0" fontId="9" fillId="7" borderId="2" xfId="0" applyFont="1" applyFill="1" applyBorder="1" applyAlignment="1">
      <alignment horizontal="center" vertical="top"/>
    </xf>
    <xf numFmtId="0" fontId="9" fillId="7" borderId="2" xfId="0" applyFont="1" applyFill="1" applyBorder="1" applyAlignment="1">
      <alignment horizontal="center" vertical="top" wrapText="1"/>
    </xf>
    <xf numFmtId="49" fontId="9" fillId="7" borderId="2" xfId="0" applyNumberFormat="1" applyFont="1" applyFill="1" applyBorder="1" applyAlignment="1">
      <alignment horizontal="center" vertical="top" wrapText="1"/>
    </xf>
    <xf numFmtId="0" fontId="9" fillId="0" borderId="0" xfId="0" applyFont="1" applyAlignment="1">
      <alignment vertical="top" wrapText="1"/>
    </xf>
    <xf numFmtId="0" fontId="9" fillId="0" borderId="13" xfId="0" applyFont="1" applyBorder="1" applyAlignment="1">
      <alignment horizontal="center" vertical="top"/>
    </xf>
    <xf numFmtId="0" fontId="9" fillId="0" borderId="13" xfId="0" applyFont="1" applyBorder="1" applyAlignment="1">
      <alignment horizontal="center" vertical="top" wrapText="1"/>
    </xf>
    <xf numFmtId="0" fontId="7" fillId="0" borderId="13" xfId="0" applyFont="1" applyBorder="1" applyAlignment="1">
      <alignment horizontal="center" vertical="top" wrapText="1"/>
    </xf>
    <xf numFmtId="0" fontId="9" fillId="0" borderId="13" xfId="0" applyFont="1" applyBorder="1" applyAlignment="1">
      <alignment horizontal="left" vertical="top" wrapText="1"/>
    </xf>
    <xf numFmtId="49" fontId="9" fillId="0" borderId="13" xfId="0" applyNumberFormat="1" applyFont="1" applyBorder="1" applyAlignment="1">
      <alignment horizontal="center" vertical="top" wrapText="1"/>
    </xf>
    <xf numFmtId="0" fontId="9" fillId="5" borderId="14" xfId="0" applyFont="1" applyFill="1" applyBorder="1" applyAlignment="1">
      <alignment vertical="top"/>
    </xf>
    <xf numFmtId="0" fontId="9" fillId="5" borderId="15" xfId="0" applyFont="1" applyFill="1" applyBorder="1" applyAlignment="1">
      <alignment vertical="top"/>
    </xf>
    <xf numFmtId="0" fontId="9" fillId="5" borderId="15" xfId="0" applyFont="1" applyFill="1" applyBorder="1" applyAlignment="1">
      <alignment horizontal="center" vertical="top"/>
    </xf>
    <xf numFmtId="0" fontId="9" fillId="5" borderId="15" xfId="0" applyFont="1" applyFill="1" applyBorder="1" applyAlignment="1">
      <alignment horizontal="left" vertical="top"/>
    </xf>
    <xf numFmtId="0" fontId="9" fillId="5" borderId="16" xfId="0" applyFont="1" applyFill="1" applyBorder="1" applyAlignment="1">
      <alignment horizontal="center" vertical="top"/>
    </xf>
    <xf numFmtId="0" fontId="7" fillId="0" borderId="2" xfId="0" applyFont="1" applyFill="1" applyBorder="1" applyAlignment="1">
      <alignment vertical="top" wrapText="1"/>
    </xf>
    <xf numFmtId="0" fontId="7" fillId="0" borderId="2" xfId="0" applyFont="1" applyBorder="1" applyAlignment="1">
      <alignment horizontal="center" vertical="top" wrapText="1"/>
    </xf>
    <xf numFmtId="0" fontId="7" fillId="0" borderId="2" xfId="0" applyFont="1" applyFill="1" applyBorder="1" applyAlignment="1">
      <alignment horizontal="left" vertical="top" wrapText="1"/>
    </xf>
    <xf numFmtId="49" fontId="7" fillId="0" borderId="2" xfId="0" applyNumberFormat="1" applyFont="1" applyBorder="1" applyAlignment="1">
      <alignment horizontal="center" vertical="top" wrapText="1"/>
    </xf>
    <xf numFmtId="0" fontId="7" fillId="0" borderId="2" xfId="0" quotePrefix="1" applyFont="1" applyBorder="1" applyAlignment="1">
      <alignment horizontal="center" vertical="top" wrapText="1"/>
    </xf>
    <xf numFmtId="0" fontId="7" fillId="0" borderId="2" xfId="0" quotePrefix="1" applyFont="1" applyBorder="1" applyAlignment="1">
      <alignment vertical="top" wrapText="1"/>
    </xf>
    <xf numFmtId="0" fontId="7" fillId="0" borderId="2" xfId="0" applyFont="1" applyBorder="1" applyAlignment="1">
      <alignment vertical="top" wrapText="1"/>
    </xf>
    <xf numFmtId="0" fontId="7" fillId="0" borderId="2" xfId="0" applyFont="1" applyBorder="1" applyAlignment="1">
      <alignment horizontal="center" vertical="top"/>
    </xf>
    <xf numFmtId="49" fontId="7" fillId="0" borderId="2" xfId="0" applyNumberFormat="1" applyFont="1" applyBorder="1" applyAlignment="1">
      <alignment horizontal="center" vertical="top"/>
    </xf>
    <xf numFmtId="0" fontId="7" fillId="0" borderId="2" xfId="0" applyFont="1" applyFill="1" applyBorder="1" applyAlignment="1">
      <alignment horizontal="center" vertical="top"/>
    </xf>
    <xf numFmtId="0" fontId="7" fillId="0" borderId="2" xfId="0" quotePrefix="1" applyFont="1" applyFill="1" applyBorder="1" applyAlignment="1">
      <alignment horizontal="center" vertical="top" wrapText="1"/>
    </xf>
    <xf numFmtId="0" fontId="9" fillId="5" borderId="2" xfId="0" applyFont="1" applyFill="1" applyBorder="1" applyAlignment="1">
      <alignment vertical="top"/>
    </xf>
    <xf numFmtId="0" fontId="9" fillId="5" borderId="17" xfId="0" applyFont="1" applyFill="1" applyBorder="1" applyAlignment="1">
      <alignment vertical="top"/>
    </xf>
    <xf numFmtId="0" fontId="7" fillId="0" borderId="2" xfId="0" quotePrefix="1" applyFont="1" applyFill="1" applyBorder="1" applyAlignment="1">
      <alignment vertical="top" wrapText="1"/>
    </xf>
    <xf numFmtId="49" fontId="7" fillId="0" borderId="2" xfId="0" applyNumberFormat="1" applyFont="1" applyFill="1" applyBorder="1" applyAlignment="1">
      <alignment horizontal="center" vertical="top"/>
    </xf>
    <xf numFmtId="0" fontId="7" fillId="0" borderId="7" xfId="0" applyFont="1" applyFill="1" applyBorder="1" applyAlignment="1">
      <alignment vertical="top" wrapText="1"/>
    </xf>
    <xf numFmtId="0" fontId="7" fillId="0" borderId="2" xfId="0" applyFont="1" applyFill="1" applyBorder="1" applyAlignment="1">
      <alignment vertical="center" wrapText="1"/>
    </xf>
    <xf numFmtId="0" fontId="7" fillId="0" borderId="2" xfId="0" applyFont="1" applyBorder="1" applyAlignment="1">
      <alignment horizontal="left" vertical="top" wrapText="1"/>
    </xf>
    <xf numFmtId="0" fontId="7" fillId="0" borderId="9" xfId="0" applyFont="1" applyBorder="1" applyAlignment="1">
      <alignment vertical="top" wrapText="1"/>
    </xf>
    <xf numFmtId="0" fontId="7" fillId="0" borderId="9" xfId="0" applyFont="1" applyFill="1" applyBorder="1" applyAlignment="1">
      <alignment horizontal="center" vertical="top" wrapText="1"/>
    </xf>
    <xf numFmtId="49" fontId="7" fillId="0" borderId="9" xfId="0" applyNumberFormat="1" applyFont="1" applyFill="1" applyBorder="1" applyAlignment="1">
      <alignment horizontal="center" vertical="top" wrapText="1"/>
    </xf>
    <xf numFmtId="0" fontId="7" fillId="0" borderId="7" xfId="0" applyFont="1" applyBorder="1" applyAlignment="1">
      <alignment vertical="top" wrapText="1"/>
    </xf>
    <xf numFmtId="0" fontId="7" fillId="0" borderId="7" xfId="0" applyFont="1" applyFill="1" applyBorder="1" applyAlignment="1">
      <alignment horizontal="center" vertical="top" wrapText="1"/>
    </xf>
    <xf numFmtId="49" fontId="7" fillId="0" borderId="7" xfId="0" applyNumberFormat="1" applyFont="1" applyFill="1" applyBorder="1" applyAlignment="1">
      <alignment horizontal="center" vertical="top" wrapText="1"/>
    </xf>
    <xf numFmtId="49" fontId="7" fillId="0" borderId="2" xfId="0" quotePrefix="1" applyNumberFormat="1" applyFont="1" applyFill="1" applyBorder="1" applyAlignment="1">
      <alignment horizontal="center" vertical="top" wrapText="1"/>
    </xf>
    <xf numFmtId="0" fontId="9" fillId="5" borderId="4" xfId="0" applyFont="1" applyFill="1" applyBorder="1" applyAlignment="1">
      <alignment vertical="top"/>
    </xf>
    <xf numFmtId="0" fontId="9" fillId="5" borderId="4" xfId="0" applyFont="1" applyFill="1" applyBorder="1" applyAlignment="1">
      <alignment horizontal="center" vertical="top"/>
    </xf>
    <xf numFmtId="0" fontId="9" fillId="5" borderId="4" xfId="0" applyFont="1" applyFill="1" applyBorder="1" applyAlignment="1">
      <alignment horizontal="left" vertical="top"/>
    </xf>
    <xf numFmtId="0" fontId="9" fillId="5" borderId="1" xfId="0" applyFont="1" applyFill="1" applyBorder="1" applyAlignment="1">
      <alignment horizontal="center" vertical="top"/>
    </xf>
    <xf numFmtId="0" fontId="7" fillId="0" borderId="9" xfId="0" applyFont="1" applyFill="1" applyBorder="1" applyAlignment="1">
      <alignment vertical="top" wrapText="1"/>
    </xf>
    <xf numFmtId="0" fontId="7" fillId="0" borderId="9" xfId="0" applyFont="1" applyBorder="1" applyAlignment="1">
      <alignment horizontal="center" vertical="top" wrapText="1"/>
    </xf>
    <xf numFmtId="0" fontId="7" fillId="0" borderId="2" xfId="0" applyFont="1" applyBorder="1" applyAlignment="1">
      <alignment vertical="center" wrapText="1"/>
    </xf>
    <xf numFmtId="49" fontId="7" fillId="0" borderId="7" xfId="0" applyNumberFormat="1" applyFont="1" applyFill="1" applyBorder="1" applyAlignment="1">
      <alignment horizontal="center" vertical="top"/>
    </xf>
    <xf numFmtId="0" fontId="7" fillId="0" borderId="2" xfId="0" applyFont="1" applyFill="1" applyBorder="1" applyAlignment="1">
      <alignment horizontal="left" vertical="top"/>
    </xf>
    <xf numFmtId="0" fontId="7" fillId="0" borderId="2" xfId="0" applyFont="1" applyFill="1" applyBorder="1" applyAlignment="1">
      <alignment vertical="top"/>
    </xf>
    <xf numFmtId="0" fontId="7" fillId="0" borderId="7" xfId="0" applyFont="1" applyFill="1" applyBorder="1" applyAlignment="1">
      <alignment horizontal="center" vertical="top"/>
    </xf>
    <xf numFmtId="0" fontId="7" fillId="0" borderId="7" xfId="0" quotePrefix="1" applyFont="1" applyFill="1" applyBorder="1" applyAlignment="1">
      <alignment horizontal="center" vertical="top" wrapText="1"/>
    </xf>
    <xf numFmtId="0" fontId="7" fillId="0" borderId="7" xfId="0" applyFont="1" applyFill="1" applyBorder="1" applyAlignment="1">
      <alignment horizontal="left" vertical="top" wrapText="1"/>
    </xf>
    <xf numFmtId="0" fontId="7" fillId="0" borderId="2" xfId="0" applyFont="1" applyFill="1" applyBorder="1" applyAlignment="1">
      <alignment horizontal="justify" vertical="top" wrapText="1"/>
    </xf>
    <xf numFmtId="0" fontId="7" fillId="0" borderId="0" xfId="0" applyFont="1" applyFill="1" applyAlignment="1">
      <alignment vertical="top" wrapText="1"/>
    </xf>
    <xf numFmtId="0" fontId="7" fillId="0" borderId="2" xfId="0" quotePrefix="1" applyFont="1" applyFill="1" applyBorder="1" applyAlignment="1">
      <alignment horizontal="left" vertical="top" wrapText="1"/>
    </xf>
    <xf numFmtId="0" fontId="9" fillId="0" borderId="2" xfId="0" applyFont="1" applyFill="1" applyBorder="1" applyAlignment="1">
      <alignment horizontal="center" vertical="top" wrapText="1"/>
    </xf>
    <xf numFmtId="0" fontId="7" fillId="0" borderId="0" xfId="0" applyFont="1" applyAlignment="1">
      <alignment vertical="top"/>
    </xf>
    <xf numFmtId="0" fontId="7" fillId="0" borderId="0" xfId="0" applyFont="1" applyAlignment="1">
      <alignment horizontal="center" vertical="top" wrapText="1"/>
    </xf>
    <xf numFmtId="0" fontId="7" fillId="0" borderId="0" xfId="0" applyFont="1" applyAlignment="1">
      <alignment horizontal="left" vertical="top" wrapText="1"/>
    </xf>
    <xf numFmtId="0" fontId="7" fillId="0" borderId="0" xfId="0" applyFont="1" applyFill="1" applyAlignment="1">
      <alignment vertical="center"/>
    </xf>
    <xf numFmtId="0" fontId="9" fillId="0" borderId="0" xfId="0" applyFont="1" applyFill="1" applyAlignment="1">
      <alignment vertical="center"/>
    </xf>
    <xf numFmtId="0" fontId="7" fillId="0" borderId="0" xfId="0" applyFont="1" applyFill="1" applyAlignment="1">
      <alignment horizontal="left" vertical="center" wrapText="1"/>
    </xf>
    <xf numFmtId="0" fontId="7" fillId="0" borderId="0" xfId="0" applyFont="1" applyFill="1" applyAlignment="1">
      <alignment horizontal="center" vertical="center"/>
    </xf>
    <xf numFmtId="0" fontId="7" fillId="0"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center" vertical="center"/>
    </xf>
    <xf numFmtId="49" fontId="7" fillId="0" borderId="0" xfId="0" applyNumberFormat="1" applyFont="1" applyAlignment="1">
      <alignment horizontal="center" vertical="center"/>
    </xf>
    <xf numFmtId="0" fontId="7" fillId="3" borderId="0" xfId="0" applyFont="1" applyFill="1" applyAlignment="1">
      <alignment vertical="center"/>
    </xf>
    <xf numFmtId="0" fontId="7" fillId="0" borderId="0" xfId="0" applyFont="1" applyAlignment="1">
      <alignment vertical="center"/>
    </xf>
    <xf numFmtId="0" fontId="9" fillId="7" borderId="2" xfId="0" applyFont="1" applyFill="1" applyBorder="1" applyAlignment="1">
      <alignment horizontal="left" vertical="top" wrapText="1"/>
    </xf>
    <xf numFmtId="0" fontId="7" fillId="3" borderId="0" xfId="0" applyFont="1" applyFill="1" applyAlignment="1">
      <alignment vertical="center" wrapText="1"/>
    </xf>
    <xf numFmtId="0" fontId="7" fillId="0" borderId="0" xfId="0" applyFont="1" applyAlignment="1">
      <alignment vertical="center" wrapText="1"/>
    </xf>
    <xf numFmtId="0" fontId="9" fillId="0" borderId="2" xfId="0" applyFont="1" applyBorder="1" applyAlignment="1">
      <alignment horizontal="center" vertical="center" wrapText="1"/>
    </xf>
    <xf numFmtId="0" fontId="9" fillId="0" borderId="2" xfId="0" applyFont="1" applyBorder="1" applyAlignment="1">
      <alignment horizontal="left" vertical="center" wrapText="1"/>
    </xf>
    <xf numFmtId="0" fontId="7" fillId="0" borderId="2" xfId="0" applyFont="1" applyBorder="1" applyAlignment="1">
      <alignment horizontal="center" vertical="center" wrapText="1"/>
    </xf>
    <xf numFmtId="0" fontId="7" fillId="0" borderId="2" xfId="0" applyFont="1" applyBorder="1" applyAlignment="1">
      <alignment horizontal="left" vertical="center" wrapText="1"/>
    </xf>
    <xf numFmtId="49" fontId="9" fillId="0" borderId="2" xfId="0" applyNumberFormat="1" applyFont="1" applyBorder="1" applyAlignment="1">
      <alignment horizontal="center" vertical="center" wrapText="1"/>
    </xf>
    <xf numFmtId="0" fontId="9" fillId="0" borderId="2" xfId="0" applyFont="1" applyBorder="1" applyAlignment="1">
      <alignment horizontal="center" vertical="top" wrapText="1"/>
    </xf>
    <xf numFmtId="0" fontId="9" fillId="5" borderId="3" xfId="0" applyFont="1" applyFill="1" applyBorder="1" applyAlignment="1">
      <alignment vertical="center"/>
    </xf>
    <xf numFmtId="0" fontId="9" fillId="5" borderId="4" xfId="0" applyFont="1" applyFill="1" applyBorder="1" applyAlignment="1">
      <alignment horizontal="left" vertical="center" wrapText="1"/>
    </xf>
    <xf numFmtId="0" fontId="9" fillId="5" borderId="4" xfId="0" applyFont="1" applyFill="1" applyBorder="1" applyAlignment="1">
      <alignment vertical="center"/>
    </xf>
    <xf numFmtId="0" fontId="9" fillId="5" borderId="4" xfId="0" applyFont="1" applyFill="1" applyBorder="1" applyAlignment="1">
      <alignment horizontal="center" vertical="center"/>
    </xf>
    <xf numFmtId="0" fontId="9" fillId="5" borderId="4" xfId="0" applyFont="1" applyFill="1" applyBorder="1" applyAlignment="1">
      <alignment horizontal="center" vertical="center" wrapText="1"/>
    </xf>
    <xf numFmtId="0" fontId="9" fillId="5" borderId="4" xfId="0" applyFont="1" applyFill="1" applyBorder="1" applyAlignment="1">
      <alignment vertical="center" wrapText="1"/>
    </xf>
    <xf numFmtId="49" fontId="9" fillId="5" borderId="4" xfId="0" applyNumberFormat="1" applyFont="1" applyFill="1" applyBorder="1" applyAlignment="1">
      <alignment vertical="center"/>
    </xf>
    <xf numFmtId="0" fontId="9" fillId="5" borderId="1" xfId="0" applyFont="1" applyFill="1" applyBorder="1" applyAlignment="1">
      <alignment horizontal="center" vertical="top" wrapText="1"/>
    </xf>
    <xf numFmtId="0" fontId="7" fillId="5" borderId="4" xfId="0" applyFont="1" applyFill="1" applyBorder="1" applyAlignment="1">
      <alignment horizontal="center" vertical="center"/>
    </xf>
    <xf numFmtId="0" fontId="9" fillId="5" borderId="3" xfId="0" applyFont="1" applyFill="1" applyBorder="1" applyAlignment="1">
      <alignment horizontal="left" vertical="top"/>
    </xf>
    <xf numFmtId="0" fontId="7" fillId="5" borderId="4" xfId="0" applyFont="1" applyFill="1" applyBorder="1" applyAlignment="1">
      <alignment horizontal="left" vertical="top" wrapText="1"/>
    </xf>
    <xf numFmtId="0" fontId="7" fillId="5" borderId="4" xfId="0" applyFont="1" applyFill="1" applyBorder="1" applyAlignment="1">
      <alignment horizontal="center" vertical="top"/>
    </xf>
    <xf numFmtId="0" fontId="7" fillId="5" borderId="4" xfId="0" applyFont="1" applyFill="1" applyBorder="1" applyAlignment="1">
      <alignment horizontal="center" vertical="top" wrapText="1"/>
    </xf>
    <xf numFmtId="49" fontId="7" fillId="5" borderId="4" xfId="0" applyNumberFormat="1" applyFont="1" applyFill="1" applyBorder="1" applyAlignment="1">
      <alignment horizontal="center" vertical="top"/>
    </xf>
    <xf numFmtId="0" fontId="7" fillId="5" borderId="1" xfId="0" applyFont="1" applyFill="1" applyBorder="1" applyAlignment="1">
      <alignment horizontal="center" vertical="top" wrapText="1"/>
    </xf>
    <xf numFmtId="0" fontId="7" fillId="0" borderId="9" xfId="0" applyFont="1" applyBorder="1" applyAlignment="1">
      <alignment horizontal="left" vertical="top" wrapText="1"/>
    </xf>
    <xf numFmtId="0" fontId="7" fillId="0" borderId="9" xfId="0" applyFont="1" applyFill="1" applyBorder="1" applyAlignment="1">
      <alignment horizontal="center" vertical="top"/>
    </xf>
    <xf numFmtId="49" fontId="7" fillId="0" borderId="9" xfId="0" applyNumberFormat="1" applyFont="1" applyFill="1" applyBorder="1" applyAlignment="1">
      <alignment horizontal="center" vertical="top"/>
    </xf>
    <xf numFmtId="49" fontId="7" fillId="0" borderId="2" xfId="0" applyNumberFormat="1" applyFont="1" applyFill="1" applyBorder="1" applyAlignment="1">
      <alignment vertical="top"/>
    </xf>
    <xf numFmtId="0" fontId="7" fillId="0" borderId="10" xfId="0" applyFont="1" applyFill="1" applyBorder="1" applyAlignment="1">
      <alignment horizontal="center" vertical="top"/>
    </xf>
    <xf numFmtId="49" fontId="7" fillId="0" borderId="2" xfId="0" applyNumberFormat="1" applyFont="1" applyBorder="1" applyAlignment="1">
      <alignment vertical="center" wrapText="1"/>
    </xf>
    <xf numFmtId="49" fontId="7" fillId="0" borderId="2" xfId="0" applyNumberFormat="1" applyFont="1" applyBorder="1" applyAlignment="1">
      <alignment horizontal="center" vertical="center"/>
    </xf>
    <xf numFmtId="0" fontId="7" fillId="6" borderId="1" xfId="0" applyFont="1" applyFill="1" applyBorder="1" applyAlignment="1">
      <alignment horizontal="left" vertical="top" wrapText="1"/>
    </xf>
    <xf numFmtId="0" fontId="14" fillId="3" borderId="0" xfId="0" applyFont="1" applyFill="1"/>
    <xf numFmtId="0" fontId="14" fillId="3" borderId="0" xfId="0" applyFont="1" applyFill="1" applyAlignment="1">
      <alignment wrapText="1"/>
    </xf>
    <xf numFmtId="0" fontId="13" fillId="8" borderId="2" xfId="0" applyFont="1" applyFill="1" applyBorder="1"/>
    <xf numFmtId="0" fontId="14" fillId="0" borderId="2" xfId="0" quotePrefix="1" applyFont="1" applyBorder="1" applyAlignment="1">
      <alignment wrapText="1"/>
    </xf>
    <xf numFmtId="0" fontId="14" fillId="0" borderId="2" xfId="0" applyFont="1" applyBorder="1" applyAlignment="1">
      <alignment wrapText="1"/>
    </xf>
    <xf numFmtId="0" fontId="13" fillId="8" borderId="2" xfId="0" applyFont="1" applyFill="1" applyBorder="1" applyAlignment="1">
      <alignment horizontal="center"/>
    </xf>
    <xf numFmtId="0" fontId="13" fillId="8" borderId="2" xfId="0" applyFont="1" applyFill="1" applyBorder="1" applyAlignment="1">
      <alignment horizontal="center" wrapText="1"/>
    </xf>
    <xf numFmtId="0" fontId="14" fillId="0" borderId="2" xfId="0" quotePrefix="1" applyFont="1" applyFill="1" applyBorder="1" applyAlignment="1">
      <alignment horizontal="center"/>
    </xf>
    <xf numFmtId="0" fontId="14" fillId="0" borderId="2" xfId="0" applyFont="1" applyFill="1" applyBorder="1" applyAlignment="1">
      <alignment horizontal="left" wrapText="1"/>
    </xf>
    <xf numFmtId="0" fontId="14" fillId="0" borderId="2" xfId="0" quotePrefix="1" applyFont="1" applyFill="1" applyBorder="1" applyAlignment="1">
      <alignment horizontal="center" vertical="center"/>
    </xf>
    <xf numFmtId="0" fontId="14" fillId="0" borderId="2" xfId="0" applyFont="1" applyFill="1" applyBorder="1" applyAlignment="1">
      <alignment horizontal="left" vertical="top" wrapText="1"/>
    </xf>
    <xf numFmtId="0" fontId="16" fillId="3" borderId="0" xfId="2" applyFont="1" applyFill="1" applyAlignment="1" applyProtection="1">
      <alignment horizontal="center"/>
    </xf>
    <xf numFmtId="0" fontId="16" fillId="3" borderId="0" xfId="2" applyFont="1" applyFill="1" applyAlignment="1" applyProtection="1">
      <alignment horizontal="center" wrapText="1"/>
    </xf>
    <xf numFmtId="0" fontId="13" fillId="8" borderId="9" xfId="0" applyFont="1" applyFill="1" applyBorder="1"/>
    <xf numFmtId="0" fontId="14" fillId="0" borderId="2" xfId="0" quotePrefix="1" applyFont="1" applyBorder="1" applyAlignment="1">
      <alignment horizontal="center"/>
    </xf>
    <xf numFmtId="0" fontId="14" fillId="0" borderId="2" xfId="0" applyFont="1" applyBorder="1" applyAlignment="1">
      <alignment horizontal="center"/>
    </xf>
    <xf numFmtId="0" fontId="18" fillId="0" borderId="2" xfId="0" applyFont="1" applyFill="1" applyBorder="1" applyAlignment="1">
      <alignment horizontal="center"/>
    </xf>
    <xf numFmtId="0" fontId="18" fillId="0" borderId="2" xfId="0" applyFont="1" applyFill="1" applyBorder="1" applyAlignment="1">
      <alignment wrapText="1"/>
    </xf>
    <xf numFmtId="0" fontId="14" fillId="0" borderId="0" xfId="0" applyFont="1" applyFill="1"/>
    <xf numFmtId="0" fontId="14" fillId="3" borderId="0" xfId="0" quotePrefix="1" applyFont="1" applyFill="1" applyAlignment="1">
      <alignment horizontal="center"/>
    </xf>
    <xf numFmtId="0" fontId="14" fillId="0" borderId="0" xfId="0" applyFont="1" applyFill="1" applyAlignment="1">
      <alignment wrapText="1"/>
    </xf>
    <xf numFmtId="0" fontId="16" fillId="0" borderId="0" xfId="2" applyFont="1" applyFill="1" applyAlignment="1" applyProtection="1">
      <alignment horizontal="center"/>
    </xf>
    <xf numFmtId="0" fontId="16" fillId="0" borderId="0" xfId="2" applyFont="1" applyFill="1" applyAlignment="1" applyProtection="1">
      <alignment horizontal="center" wrapText="1"/>
    </xf>
    <xf numFmtId="0" fontId="14" fillId="0" borderId="0" xfId="0" quotePrefix="1" applyFont="1" applyAlignment="1">
      <alignment horizontal="center"/>
    </xf>
    <xf numFmtId="0" fontId="14" fillId="0" borderId="0" xfId="0" applyFont="1" applyAlignment="1">
      <alignment wrapText="1"/>
    </xf>
    <xf numFmtId="0" fontId="14" fillId="0" borderId="0" xfId="0" applyFont="1"/>
    <xf numFmtId="0" fontId="14" fillId="0" borderId="2" xfId="0" quotePrefix="1" applyFont="1" applyBorder="1" applyAlignment="1">
      <alignment horizontal="left"/>
    </xf>
    <xf numFmtId="0" fontId="14" fillId="0" borderId="2" xfId="0" quotePrefix="1" applyFont="1" applyFill="1" applyBorder="1" applyAlignment="1">
      <alignment horizontal="left"/>
    </xf>
    <xf numFmtId="0" fontId="19" fillId="0" borderId="2" xfId="0" quotePrefix="1" applyFont="1" applyFill="1" applyBorder="1" applyAlignment="1">
      <alignment horizontal="center"/>
    </xf>
    <xf numFmtId="0" fontId="14" fillId="3" borderId="0" xfId="0" applyFont="1" applyFill="1" applyAlignment="1">
      <alignment horizontal="center"/>
    </xf>
    <xf numFmtId="0" fontId="14" fillId="0" borderId="0" xfId="0" applyFont="1" applyAlignment="1">
      <alignment horizontal="center"/>
    </xf>
    <xf numFmtId="0" fontId="14" fillId="0" borderId="2" xfId="0" quotePrefix="1" applyFont="1" applyBorder="1" applyAlignment="1">
      <alignment horizontal="left" wrapText="1"/>
    </xf>
    <xf numFmtId="49" fontId="14" fillId="0" borderId="2" xfId="0" applyNumberFormat="1" applyFont="1" applyBorder="1" applyAlignment="1">
      <alignment horizontal="center"/>
    </xf>
    <xf numFmtId="0" fontId="14" fillId="0" borderId="3" xfId="0" applyFont="1" applyBorder="1" applyAlignment="1">
      <alignment horizontal="left"/>
    </xf>
    <xf numFmtId="0" fontId="14" fillId="0" borderId="2" xfId="0" applyFont="1" applyBorder="1" applyAlignment="1">
      <alignment horizontal="left"/>
    </xf>
    <xf numFmtId="0" fontId="14" fillId="0" borderId="2" xfId="0" applyFont="1" applyBorder="1" applyAlignment="1">
      <alignment horizontal="left" wrapText="1"/>
    </xf>
    <xf numFmtId="49" fontId="14" fillId="0" borderId="2" xfId="0" applyNumberFormat="1" applyFont="1" applyFill="1" applyBorder="1" applyAlignment="1">
      <alignment horizontal="center"/>
    </xf>
    <xf numFmtId="0" fontId="14" fillId="0" borderId="2" xfId="0" applyFont="1" applyFill="1" applyBorder="1" applyAlignment="1">
      <alignment horizontal="left"/>
    </xf>
    <xf numFmtId="49" fontId="19" fillId="0" borderId="2" xfId="0" applyNumberFormat="1" applyFont="1" applyFill="1" applyBorder="1" applyAlignment="1">
      <alignment horizontal="center"/>
    </xf>
    <xf numFmtId="0" fontId="19" fillId="0" borderId="2" xfId="0" applyFont="1" applyFill="1" applyBorder="1" applyAlignment="1">
      <alignment horizontal="left"/>
    </xf>
    <xf numFmtId="0" fontId="21" fillId="0" borderId="2" xfId="0" applyFont="1" applyFill="1" applyBorder="1" applyAlignment="1">
      <alignment horizontal="center" vertical="center"/>
    </xf>
    <xf numFmtId="0" fontId="21" fillId="0" borderId="2" xfId="0" applyFont="1" applyFill="1" applyBorder="1" applyAlignment="1">
      <alignment vertical="center" wrapText="1"/>
    </xf>
    <xf numFmtId="49" fontId="14" fillId="0" borderId="9" xfId="0" applyNumberFormat="1" applyFont="1" applyFill="1" applyBorder="1" applyAlignment="1">
      <alignment horizontal="center"/>
    </xf>
    <xf numFmtId="0" fontId="14" fillId="0" borderId="9" xfId="0" applyFont="1" applyFill="1" applyBorder="1" applyAlignment="1">
      <alignment horizontal="left"/>
    </xf>
    <xf numFmtId="0" fontId="18" fillId="0" borderId="2" xfId="0" applyFont="1" applyFill="1" applyBorder="1" applyAlignment="1">
      <alignment vertical="center" wrapText="1"/>
    </xf>
    <xf numFmtId="0" fontId="14" fillId="0" borderId="2" xfId="0" quotePrefix="1" applyFont="1" applyFill="1" applyBorder="1" applyAlignment="1">
      <alignment horizontal="left" wrapText="1"/>
    </xf>
    <xf numFmtId="49" fontId="14" fillId="0" borderId="2" xfId="0" applyNumberFormat="1" applyFont="1" applyFill="1" applyBorder="1" applyAlignment="1">
      <alignment horizontal="left"/>
    </xf>
    <xf numFmtId="0" fontId="22" fillId="8" borderId="2" xfId="0" applyFont="1" applyFill="1" applyBorder="1" applyAlignment="1">
      <alignment horizontal="center" vertical="center" wrapText="1"/>
    </xf>
    <xf numFmtId="49" fontId="19" fillId="0" borderId="2" xfId="0" applyNumberFormat="1" applyFont="1" applyFill="1" applyBorder="1" applyAlignment="1">
      <alignment horizontal="left"/>
    </xf>
    <xf numFmtId="0" fontId="6" fillId="8" borderId="2" xfId="0" applyFont="1" applyFill="1" applyBorder="1"/>
    <xf numFmtId="0" fontId="19" fillId="0" borderId="2" xfId="0" quotePrefix="1" applyFont="1" applyFill="1" applyBorder="1" applyAlignment="1">
      <alignment horizontal="left" wrapText="1"/>
    </xf>
    <xf numFmtId="0" fontId="6" fillId="8" borderId="2" xfId="0" applyFont="1" applyFill="1" applyBorder="1" applyAlignment="1">
      <alignment horizontal="center"/>
    </xf>
    <xf numFmtId="0" fontId="6" fillId="8" borderId="2" xfId="0" applyFont="1" applyFill="1" applyBorder="1" applyAlignment="1">
      <alignment horizontal="center" wrapText="1"/>
    </xf>
    <xf numFmtId="0" fontId="20" fillId="0" borderId="19" xfId="0" applyFont="1" applyFill="1" applyBorder="1" applyAlignment="1">
      <alignment horizontal="center" vertical="center"/>
    </xf>
    <xf numFmtId="0" fontId="20" fillId="0" borderId="19" xfId="0" applyFont="1" applyFill="1" applyBorder="1" applyAlignment="1">
      <alignment horizontal="left" vertical="center"/>
    </xf>
    <xf numFmtId="0" fontId="20" fillId="0" borderId="20" xfId="0" applyFont="1" applyFill="1" applyBorder="1" applyAlignment="1">
      <alignment horizontal="center" vertical="center"/>
    </xf>
    <xf numFmtId="0" fontId="20" fillId="0" borderId="20" xfId="0" applyFont="1" applyFill="1" applyBorder="1" applyAlignment="1">
      <alignment horizontal="left" vertical="center"/>
    </xf>
    <xf numFmtId="0" fontId="13" fillId="7" borderId="2" xfId="0" applyFont="1" applyFill="1" applyBorder="1"/>
    <xf numFmtId="0" fontId="13" fillId="7" borderId="2" xfId="0" applyFont="1" applyFill="1" applyBorder="1" applyAlignment="1">
      <alignment horizontal="center"/>
    </xf>
    <xf numFmtId="0" fontId="13" fillId="7" borderId="2" xfId="0" applyFont="1" applyFill="1" applyBorder="1" applyAlignment="1">
      <alignment horizontal="center" wrapText="1"/>
    </xf>
    <xf numFmtId="0" fontId="7" fillId="0" borderId="2" xfId="0" applyFont="1" applyFill="1" applyBorder="1" applyAlignment="1">
      <alignment horizontal="center" vertical="top" wrapText="1"/>
    </xf>
    <xf numFmtId="0" fontId="7" fillId="0" borderId="7" xfId="0" applyFont="1" applyFill="1" applyBorder="1" applyAlignment="1">
      <alignment horizontal="left" vertical="top" wrapText="1"/>
    </xf>
    <xf numFmtId="0" fontId="7" fillId="0" borderId="2" xfId="0" applyFont="1" applyFill="1" applyBorder="1" applyAlignment="1">
      <alignment horizontal="center" vertical="top"/>
    </xf>
    <xf numFmtId="49" fontId="7" fillId="0" borderId="2" xfId="0" applyNumberFormat="1" applyFont="1" applyFill="1" applyBorder="1" applyAlignment="1">
      <alignment horizontal="center" vertical="top" wrapText="1"/>
    </xf>
    <xf numFmtId="0" fontId="7" fillId="0" borderId="7" xfId="0" applyFont="1" applyFill="1" applyBorder="1" applyAlignment="1">
      <alignment horizontal="center" vertical="top" wrapText="1"/>
    </xf>
    <xf numFmtId="0" fontId="7" fillId="0" borderId="10" xfId="0" applyFont="1" applyFill="1" applyBorder="1" applyAlignment="1">
      <alignment horizontal="center" vertical="top"/>
    </xf>
    <xf numFmtId="0" fontId="7" fillId="0" borderId="1" xfId="0" applyFont="1" applyFill="1" applyBorder="1" applyAlignment="1">
      <alignment horizontal="left" vertical="top" wrapText="1"/>
    </xf>
    <xf numFmtId="0" fontId="7" fillId="0" borderId="2" xfId="0" applyFont="1" applyFill="1" applyBorder="1" applyAlignment="1">
      <alignment horizontal="left" vertical="top" wrapText="1"/>
    </xf>
    <xf numFmtId="0" fontId="7" fillId="0" borderId="1" xfId="0" applyFont="1" applyFill="1" applyBorder="1" applyAlignment="1">
      <alignment vertical="top" wrapText="1"/>
    </xf>
    <xf numFmtId="0" fontId="7" fillId="6" borderId="1" xfId="0" applyFont="1" applyFill="1" applyBorder="1" applyAlignment="1">
      <alignment horizontal="left" vertical="top" wrapText="1"/>
    </xf>
    <xf numFmtId="0" fontId="7" fillId="6" borderId="7" xfId="0" applyFont="1" applyFill="1" applyBorder="1" applyAlignment="1">
      <alignment horizontal="left" vertical="top" wrapText="1"/>
    </xf>
    <xf numFmtId="0" fontId="7" fillId="6" borderId="10" xfId="0" applyFont="1" applyFill="1" applyBorder="1" applyAlignment="1">
      <alignment horizontal="left" vertical="top" wrapText="1"/>
    </xf>
    <xf numFmtId="0" fontId="7" fillId="0" borderId="9" xfId="0" applyFont="1" applyFill="1" applyBorder="1" applyAlignment="1">
      <alignment vertical="top" wrapText="1"/>
    </xf>
    <xf numFmtId="0" fontId="7" fillId="6" borderId="2" xfId="0" applyFont="1" applyFill="1" applyBorder="1" applyAlignment="1">
      <alignment horizontal="center" vertical="top" wrapText="1"/>
    </xf>
    <xf numFmtId="0" fontId="7" fillId="6" borderId="2" xfId="0" applyFont="1" applyFill="1" applyBorder="1" applyAlignment="1">
      <alignment horizontal="left" vertical="top" wrapText="1"/>
    </xf>
    <xf numFmtId="0" fontId="7" fillId="6" borderId="2" xfId="0" quotePrefix="1" applyFont="1" applyFill="1" applyBorder="1" applyAlignment="1">
      <alignment horizontal="center" vertical="top" wrapText="1"/>
    </xf>
    <xf numFmtId="0" fontId="7" fillId="6" borderId="2" xfId="0" applyFont="1" applyFill="1" applyBorder="1" applyAlignment="1">
      <alignment vertical="top" wrapText="1"/>
    </xf>
    <xf numFmtId="0" fontId="7" fillId="6" borderId="2" xfId="0" quotePrefix="1" applyFont="1" applyFill="1" applyBorder="1" applyAlignment="1">
      <alignment horizontal="left" vertical="top" wrapText="1"/>
    </xf>
    <xf numFmtId="0" fontId="7" fillId="6" borderId="2" xfId="0" quotePrefix="1" applyFont="1" applyFill="1" applyBorder="1" applyAlignment="1">
      <alignment horizontal="left" vertical="top"/>
    </xf>
    <xf numFmtId="0" fontId="7" fillId="6" borderId="2" xfId="0" quotePrefix="1" applyFont="1" applyFill="1" applyBorder="1" applyAlignment="1">
      <alignment vertical="top" wrapText="1"/>
    </xf>
    <xf numFmtId="0" fontId="7" fillId="6" borderId="7" xfId="0" quotePrefix="1" applyFont="1" applyFill="1" applyBorder="1" applyAlignment="1">
      <alignment horizontal="left" vertical="top"/>
    </xf>
    <xf numFmtId="0" fontId="7" fillId="6" borderId="7" xfId="0" quotePrefix="1" applyFont="1" applyFill="1" applyBorder="1" applyAlignment="1">
      <alignment horizontal="center" vertical="top" wrapText="1"/>
    </xf>
    <xf numFmtId="0" fontId="7" fillId="6" borderId="2" xfId="0" applyFont="1" applyFill="1" applyBorder="1" applyAlignment="1">
      <alignment horizontal="center" vertical="top"/>
    </xf>
    <xf numFmtId="0" fontId="7" fillId="6" borderId="7" xfId="0" applyFont="1" applyFill="1" applyBorder="1" applyAlignment="1">
      <alignment vertical="top" wrapText="1"/>
    </xf>
    <xf numFmtId="0" fontId="7" fillId="6" borderId="7" xfId="0" applyFont="1" applyFill="1" applyBorder="1" applyAlignment="1">
      <alignment horizontal="center" vertical="top" wrapText="1"/>
    </xf>
    <xf numFmtId="0" fontId="7" fillId="6" borderId="1" xfId="0" applyFont="1" applyFill="1" applyBorder="1" applyAlignment="1">
      <alignment vertical="top" wrapText="1"/>
    </xf>
    <xf numFmtId="0" fontId="7" fillId="6" borderId="6" xfId="0" applyFont="1" applyFill="1" applyBorder="1" applyAlignment="1">
      <alignment vertical="top" wrapText="1"/>
    </xf>
    <xf numFmtId="0" fontId="8" fillId="0" borderId="2" xfId="0" applyFont="1" applyBorder="1" applyAlignment="1">
      <alignment horizontal="center" vertical="center"/>
    </xf>
    <xf numFmtId="0" fontId="7" fillId="0" borderId="2" xfId="0" applyFont="1" applyFill="1" applyBorder="1" applyAlignment="1">
      <alignment horizontal="center" vertical="center" wrapText="1"/>
    </xf>
    <xf numFmtId="0" fontId="23" fillId="6" borderId="2" xfId="0" applyFont="1" applyFill="1" applyBorder="1" applyAlignment="1">
      <alignment vertical="top" wrapText="1"/>
    </xf>
    <xf numFmtId="0" fontId="23" fillId="0" borderId="2" xfId="0" applyFont="1" applyBorder="1"/>
    <xf numFmtId="0" fontId="23" fillId="0" borderId="2" xfId="0" applyFont="1" applyBorder="1" applyAlignment="1">
      <alignment vertical="top" wrapText="1"/>
    </xf>
    <xf numFmtId="0" fontId="7" fillId="3" borderId="2" xfId="0" applyFont="1" applyFill="1" applyBorder="1" applyAlignment="1">
      <alignment vertical="top" wrapText="1"/>
    </xf>
    <xf numFmtId="0" fontId="23" fillId="10" borderId="2" xfId="0" applyFont="1" applyFill="1" applyBorder="1" applyAlignment="1">
      <alignment vertical="top" wrapText="1"/>
    </xf>
    <xf numFmtId="0" fontId="23" fillId="9" borderId="2" xfId="0" applyFont="1" applyFill="1" applyBorder="1"/>
    <xf numFmtId="0" fontId="7" fillId="3" borderId="2" xfId="0" applyFont="1" applyFill="1" applyBorder="1" applyAlignment="1">
      <alignment horizontal="center" vertical="center" wrapText="1"/>
    </xf>
    <xf numFmtId="0" fontId="23" fillId="0" borderId="2" xfId="0" applyFont="1" applyBorder="1" applyAlignment="1">
      <alignment horizontal="center" vertical="center"/>
    </xf>
    <xf numFmtId="0" fontId="23" fillId="0" borderId="2" xfId="0" applyFont="1" applyBorder="1" applyAlignment="1">
      <alignment horizontal="center" vertical="center" wrapText="1"/>
    </xf>
    <xf numFmtId="0" fontId="23" fillId="9" borderId="2" xfId="0" applyFont="1" applyFill="1" applyBorder="1" applyAlignment="1">
      <alignment vertical="top" wrapText="1"/>
    </xf>
    <xf numFmtId="0" fontId="23" fillId="0" borderId="2" xfId="0" applyFont="1" applyFill="1" applyBorder="1" applyAlignment="1">
      <alignment vertical="top" wrapText="1"/>
    </xf>
    <xf numFmtId="0" fontId="23" fillId="0" borderId="2" xfId="0" quotePrefix="1" applyFont="1" applyBorder="1" applyAlignment="1">
      <alignment horizontal="center" vertical="center" wrapText="1"/>
    </xf>
    <xf numFmtId="0" fontId="23" fillId="0" borderId="0" xfId="0" applyFont="1"/>
    <xf numFmtId="0" fontId="9" fillId="2" borderId="2" xfId="0" applyFont="1" applyFill="1" applyBorder="1" applyAlignment="1">
      <alignment horizontal="center" vertical="center" wrapText="1"/>
    </xf>
    <xf numFmtId="0" fontId="23" fillId="6" borderId="2" xfId="0" applyFont="1" applyFill="1" applyBorder="1"/>
    <xf numFmtId="0" fontId="23" fillId="0" borderId="2" xfId="0" applyFont="1" applyFill="1" applyBorder="1"/>
    <xf numFmtId="0" fontId="23" fillId="0" borderId="1" xfId="0" applyFont="1" applyBorder="1"/>
    <xf numFmtId="0" fontId="23" fillId="6" borderId="2" xfId="0" applyFont="1" applyFill="1" applyBorder="1" applyAlignment="1">
      <alignment vertical="top"/>
    </xf>
    <xf numFmtId="0" fontId="23" fillId="0" borderId="2" xfId="0" applyFont="1" applyFill="1" applyBorder="1" applyAlignment="1">
      <alignment vertical="top"/>
    </xf>
    <xf numFmtId="0" fontId="23" fillId="11" borderId="2" xfId="0" applyFont="1" applyFill="1" applyBorder="1" applyAlignment="1">
      <alignment vertical="top" wrapText="1"/>
    </xf>
    <xf numFmtId="0" fontId="8" fillId="11" borderId="2" xfId="0" applyFont="1" applyFill="1" applyBorder="1" applyAlignment="1">
      <alignment horizontal="center" vertical="center"/>
    </xf>
    <xf numFmtId="0" fontId="23" fillId="11" borderId="2" xfId="0" applyFont="1" applyFill="1" applyBorder="1"/>
    <xf numFmtId="0" fontId="23" fillId="11" borderId="2" xfId="0" applyFont="1" applyFill="1" applyBorder="1" applyAlignment="1">
      <alignment horizontal="center" vertical="center"/>
    </xf>
    <xf numFmtId="0" fontId="4" fillId="4" borderId="3" xfId="0" applyFont="1" applyFill="1" applyBorder="1" applyAlignment="1"/>
    <xf numFmtId="0" fontId="4" fillId="4" borderId="4" xfId="0" applyFont="1" applyFill="1" applyBorder="1" applyAlignment="1"/>
    <xf numFmtId="0" fontId="0" fillId="4" borderId="1" xfId="0" applyFill="1" applyBorder="1"/>
    <xf numFmtId="0" fontId="2" fillId="9" borderId="7" xfId="0" applyFont="1" applyFill="1" applyBorder="1" applyAlignment="1">
      <alignment horizontal="center" vertical="center" wrapText="1"/>
    </xf>
    <xf numFmtId="0" fontId="2" fillId="9" borderId="2" xfId="0" applyFont="1" applyFill="1" applyBorder="1" applyAlignment="1">
      <alignment vertical="center" wrapText="1"/>
    </xf>
    <xf numFmtId="0" fontId="4" fillId="4" borderId="2" xfId="0" applyFont="1" applyFill="1" applyBorder="1" applyAlignment="1"/>
    <xf numFmtId="0" fontId="23" fillId="0" borderId="3" xfId="0" applyFont="1" applyBorder="1"/>
    <xf numFmtId="0" fontId="23" fillId="0" borderId="4" xfId="0" applyFont="1" applyBorder="1"/>
    <xf numFmtId="0" fontId="7" fillId="0" borderId="4" xfId="0" applyFont="1" applyFill="1" applyBorder="1" applyAlignment="1">
      <alignment vertical="top" wrapText="1"/>
    </xf>
    <xf numFmtId="0" fontId="8" fillId="9" borderId="2" xfId="0" applyFont="1" applyFill="1" applyBorder="1" applyAlignment="1">
      <alignment horizontal="center"/>
    </xf>
    <xf numFmtId="0" fontId="23" fillId="11" borderId="1" xfId="0" applyFont="1" applyFill="1" applyBorder="1" applyAlignment="1">
      <alignment vertical="top" wrapText="1"/>
    </xf>
    <xf numFmtId="0" fontId="23" fillId="11" borderId="1" xfId="0" applyFont="1" applyFill="1" applyBorder="1" applyAlignment="1">
      <alignment vertical="top"/>
    </xf>
    <xf numFmtId="0" fontId="23" fillId="11" borderId="1" xfId="0" applyFont="1" applyFill="1" applyBorder="1" applyAlignment="1">
      <alignment horizontal="left" vertical="top"/>
    </xf>
    <xf numFmtId="0" fontId="23" fillId="11" borderId="1" xfId="0" applyFont="1" applyFill="1" applyBorder="1" applyAlignment="1">
      <alignment horizontal="center" vertical="top" wrapText="1"/>
    </xf>
    <xf numFmtId="0" fontId="7" fillId="11" borderId="2" xfId="0" applyFont="1" applyFill="1" applyBorder="1" applyAlignment="1">
      <alignment horizontal="center" vertical="center" wrapText="1"/>
    </xf>
    <xf numFmtId="0" fontId="7" fillId="6" borderId="9" xfId="0" applyFont="1" applyFill="1" applyBorder="1" applyAlignment="1">
      <alignment vertical="top" wrapText="1"/>
    </xf>
    <xf numFmtId="0" fontId="23" fillId="0" borderId="2" xfId="0" applyFont="1" applyFill="1" applyBorder="1" applyAlignment="1">
      <alignment horizontal="center" vertical="center"/>
    </xf>
    <xf numFmtId="0" fontId="23" fillId="0" borderId="2" xfId="0" applyFont="1" applyFill="1" applyBorder="1" applyAlignment="1">
      <alignment horizontal="center" vertical="center" wrapText="1"/>
    </xf>
    <xf numFmtId="0" fontId="23" fillId="0" borderId="2" xfId="0" quotePrefix="1" applyFont="1" applyFill="1" applyBorder="1" applyAlignment="1">
      <alignment horizontal="center" vertical="center" wrapText="1"/>
    </xf>
    <xf numFmtId="0" fontId="23" fillId="0" borderId="0" xfId="0" applyFont="1" applyFill="1"/>
    <xf numFmtId="0" fontId="8" fillId="6" borderId="2" xfId="0" applyFont="1" applyFill="1" applyBorder="1" applyAlignment="1">
      <alignment horizontal="center" vertical="center"/>
    </xf>
    <xf numFmtId="0" fontId="7" fillId="6" borderId="10" xfId="0" applyFont="1" applyFill="1" applyBorder="1" applyAlignment="1">
      <alignment horizontal="center" vertical="top"/>
    </xf>
    <xf numFmtId="0" fontId="7" fillId="6" borderId="7" xfId="0" applyFont="1" applyFill="1" applyBorder="1" applyAlignment="1">
      <alignment horizontal="center" vertical="top"/>
    </xf>
    <xf numFmtId="0" fontId="9" fillId="13" borderId="2" xfId="0" quotePrefix="1" applyFont="1" applyFill="1" applyBorder="1" applyAlignment="1">
      <alignment horizontal="center" vertical="center"/>
    </xf>
    <xf numFmtId="0" fontId="0" fillId="0" borderId="0" xfId="0" applyAlignment="1">
      <alignment horizontal="center"/>
    </xf>
    <xf numFmtId="0" fontId="7" fillId="0" borderId="2" xfId="0" applyFont="1" applyFill="1" applyBorder="1" applyAlignment="1">
      <alignment horizontal="center" vertical="center"/>
    </xf>
    <xf numFmtId="0" fontId="7" fillId="0" borderId="2" xfId="0" applyFont="1" applyFill="1" applyBorder="1" applyAlignment="1">
      <alignment horizontal="left" vertical="center"/>
    </xf>
    <xf numFmtId="0" fontId="7" fillId="0" borderId="2" xfId="0" quotePrefix="1" applyFont="1" applyFill="1" applyBorder="1" applyAlignment="1">
      <alignment horizontal="center" vertical="center"/>
    </xf>
    <xf numFmtId="0" fontId="7" fillId="0" borderId="2" xfId="0" applyFont="1" applyFill="1" applyBorder="1" applyAlignment="1">
      <alignment horizontal="left" vertical="center" wrapText="1"/>
    </xf>
    <xf numFmtId="49" fontId="7" fillId="0" borderId="2" xfId="0" applyNumberFormat="1" applyFont="1" applyFill="1" applyBorder="1" applyAlignment="1">
      <alignment horizontal="center" vertical="center"/>
    </xf>
    <xf numFmtId="49" fontId="7" fillId="0" borderId="2" xfId="0" applyNumberFormat="1" applyFont="1" applyFill="1" applyBorder="1" applyAlignment="1">
      <alignment horizontal="left" vertical="center"/>
    </xf>
    <xf numFmtId="49" fontId="7" fillId="0" borderId="2" xfId="0" quotePrefix="1" applyNumberFormat="1" applyFont="1" applyFill="1" applyBorder="1" applyAlignment="1">
      <alignment horizontal="center" vertical="center"/>
    </xf>
    <xf numFmtId="49" fontId="7" fillId="12" borderId="2" xfId="0" applyNumberFormat="1" applyFont="1" applyFill="1" applyBorder="1" applyAlignment="1">
      <alignment horizontal="center" vertical="top" wrapText="1"/>
    </xf>
    <xf numFmtId="0" fontId="7" fillId="12" borderId="2" xfId="0" applyFont="1" applyFill="1" applyBorder="1" applyAlignment="1">
      <alignment vertical="top" wrapText="1"/>
    </xf>
    <xf numFmtId="0" fontId="0" fillId="0" borderId="0" xfId="0" applyAlignment="1">
      <alignment vertical="center"/>
    </xf>
    <xf numFmtId="0" fontId="0" fillId="0" borderId="0" xfId="0" applyAlignment="1">
      <alignment horizontal="left" vertical="center"/>
    </xf>
    <xf numFmtId="0" fontId="7" fillId="6" borderId="1" xfId="0" applyFont="1" applyFill="1" applyBorder="1" applyAlignment="1">
      <alignment vertical="top" wrapText="1"/>
    </xf>
    <xf numFmtId="0" fontId="7" fillId="6" borderId="9" xfId="0" applyFont="1" applyFill="1" applyBorder="1" applyAlignment="1">
      <alignment vertical="top" wrapText="1"/>
    </xf>
    <xf numFmtId="0" fontId="7" fillId="6" borderId="2" xfId="0" applyFont="1" applyFill="1" applyBorder="1" applyAlignment="1">
      <alignment horizontal="left" vertical="top" wrapText="1"/>
    </xf>
    <xf numFmtId="0" fontId="7" fillId="0" borderId="2" xfId="0" applyFont="1" applyFill="1" applyBorder="1" applyAlignment="1">
      <alignment horizontal="center" vertical="top"/>
    </xf>
    <xf numFmtId="0" fontId="7" fillId="6" borderId="1" xfId="0" applyFont="1" applyFill="1" applyBorder="1" applyAlignment="1">
      <alignment horizontal="left" vertical="top" wrapText="1"/>
    </xf>
    <xf numFmtId="0" fontId="7" fillId="0" borderId="2" xfId="0" applyFont="1" applyFill="1" applyBorder="1" applyAlignment="1">
      <alignment horizontal="center" vertical="top" wrapText="1"/>
    </xf>
    <xf numFmtId="0" fontId="7" fillId="6" borderId="2" xfId="0" applyFont="1" applyFill="1" applyBorder="1" applyAlignment="1">
      <alignment horizontal="center" vertical="top" wrapText="1"/>
    </xf>
    <xf numFmtId="0" fontId="7" fillId="6" borderId="2" xfId="0" quotePrefix="1" applyFont="1" applyFill="1" applyBorder="1" applyAlignment="1">
      <alignment horizontal="center" vertical="top"/>
    </xf>
    <xf numFmtId="0" fontId="7" fillId="6" borderId="7" xfId="0" applyFont="1" applyFill="1" applyBorder="1" applyAlignment="1">
      <alignment horizontal="center" vertical="top" wrapText="1"/>
    </xf>
    <xf numFmtId="0" fontId="7" fillId="6" borderId="9" xfId="0" applyFont="1" applyFill="1" applyBorder="1" applyAlignment="1">
      <alignment horizontal="center" vertical="top" wrapText="1"/>
    </xf>
    <xf numFmtId="0" fontId="7" fillId="6" borderId="7" xfId="0" applyFont="1" applyFill="1" applyBorder="1" applyAlignment="1">
      <alignment horizontal="left" vertical="top" wrapText="1"/>
    </xf>
    <xf numFmtId="0" fontId="7" fillId="6" borderId="9" xfId="0" applyFont="1" applyFill="1" applyBorder="1" applyAlignment="1">
      <alignment horizontal="left" vertical="top" wrapText="1"/>
    </xf>
    <xf numFmtId="49" fontId="7" fillId="6" borderId="2" xfId="0" applyNumberFormat="1" applyFont="1" applyFill="1" applyBorder="1" applyAlignment="1">
      <alignment horizontal="center" vertical="top" wrapText="1"/>
    </xf>
    <xf numFmtId="0" fontId="7" fillId="0" borderId="2" xfId="0" quotePrefix="1" applyFont="1" applyFill="1" applyBorder="1" applyAlignment="1">
      <alignment horizontal="center" vertical="top"/>
    </xf>
    <xf numFmtId="0" fontId="7" fillId="0" borderId="7" xfId="0" quotePrefix="1" applyFont="1" applyFill="1" applyBorder="1" applyAlignment="1">
      <alignment horizontal="center" vertical="top"/>
    </xf>
    <xf numFmtId="0" fontId="7" fillId="0" borderId="10" xfId="0" quotePrefix="1" applyFont="1" applyFill="1" applyBorder="1" applyAlignment="1">
      <alignment horizontal="center" vertical="top"/>
    </xf>
    <xf numFmtId="0" fontId="7" fillId="6" borderId="10" xfId="0" applyFont="1" applyFill="1" applyBorder="1" applyAlignment="1">
      <alignment horizontal="left" vertical="top" wrapText="1"/>
    </xf>
    <xf numFmtId="0" fontId="7" fillId="0" borderId="7" xfId="0" quotePrefix="1" applyFont="1" applyFill="1" applyBorder="1" applyAlignment="1">
      <alignment horizontal="center" vertical="top" wrapText="1"/>
    </xf>
    <xf numFmtId="0" fontId="7" fillId="0" borderId="10" xfId="0" quotePrefix="1" applyFont="1" applyFill="1" applyBorder="1" applyAlignment="1">
      <alignment horizontal="center" vertical="top" wrapText="1"/>
    </xf>
    <xf numFmtId="0" fontId="7" fillId="6" borderId="7" xfId="0" quotePrefix="1" applyFont="1" applyFill="1" applyBorder="1" applyAlignment="1">
      <alignment horizontal="center" vertical="top" wrapText="1"/>
    </xf>
    <xf numFmtId="0" fontId="7" fillId="6" borderId="10" xfId="0" quotePrefix="1" applyFont="1" applyFill="1" applyBorder="1" applyAlignment="1">
      <alignment horizontal="center" vertical="top" wrapText="1"/>
    </xf>
    <xf numFmtId="0" fontId="7" fillId="0" borderId="9" xfId="0" quotePrefix="1" applyFont="1" applyFill="1" applyBorder="1" applyAlignment="1">
      <alignment horizontal="center" vertical="top" wrapText="1"/>
    </xf>
    <xf numFmtId="0" fontId="7" fillId="6" borderId="10" xfId="0" applyFont="1" applyFill="1" applyBorder="1" applyAlignment="1">
      <alignment horizontal="center" vertical="top" wrapText="1"/>
    </xf>
    <xf numFmtId="0" fontId="7" fillId="6" borderId="9" xfId="0" quotePrefix="1" applyFont="1" applyFill="1" applyBorder="1" applyAlignment="1">
      <alignment horizontal="center" vertical="top" wrapText="1"/>
    </xf>
    <xf numFmtId="0" fontId="7" fillId="0" borderId="7" xfId="0" applyFont="1" applyFill="1" applyBorder="1" applyAlignment="1">
      <alignment horizontal="center" vertical="top" wrapText="1"/>
    </xf>
    <xf numFmtId="0" fontId="7" fillId="0" borderId="10" xfId="0" applyFont="1" applyFill="1" applyBorder="1" applyAlignment="1">
      <alignment horizontal="center" vertical="top" wrapText="1"/>
    </xf>
    <xf numFmtId="0" fontId="7" fillId="6" borderId="3" xfId="0" applyFont="1" applyFill="1" applyBorder="1" applyAlignment="1">
      <alignment horizontal="left" vertical="top" wrapText="1"/>
    </xf>
    <xf numFmtId="0" fontId="7" fillId="0" borderId="9" xfId="0" quotePrefix="1" applyFont="1" applyFill="1" applyBorder="1" applyAlignment="1">
      <alignment horizontal="center" vertical="top"/>
    </xf>
    <xf numFmtId="0" fontId="7" fillId="0" borderId="9" xfId="0" applyFont="1" applyFill="1" applyBorder="1" applyAlignment="1">
      <alignment horizontal="center" vertical="top" wrapText="1"/>
    </xf>
    <xf numFmtId="0" fontId="7" fillId="0" borderId="2" xfId="0" quotePrefix="1" applyFont="1" applyFill="1" applyBorder="1" applyAlignment="1">
      <alignment horizontal="center" vertical="top" wrapText="1"/>
    </xf>
    <xf numFmtId="0" fontId="7" fillId="6" borderId="1" xfId="0" applyFont="1" applyFill="1" applyBorder="1" applyAlignment="1">
      <alignment vertical="top" wrapText="1"/>
    </xf>
    <xf numFmtId="0" fontId="7" fillId="0" borderId="2" xfId="0" applyFont="1" applyBorder="1" applyAlignment="1">
      <alignment horizontal="center" vertical="top" wrapText="1"/>
    </xf>
    <xf numFmtId="0" fontId="7" fillId="0" borderId="7" xfId="0" applyFont="1" applyFill="1" applyBorder="1" applyAlignment="1">
      <alignment horizontal="center" vertical="top"/>
    </xf>
    <xf numFmtId="0" fontId="7" fillId="0" borderId="10" xfId="0" applyFont="1" applyFill="1" applyBorder="1" applyAlignment="1">
      <alignment horizontal="center" vertical="top"/>
    </xf>
    <xf numFmtId="0" fontId="7" fillId="0" borderId="9" xfId="0" applyFont="1" applyFill="1" applyBorder="1" applyAlignment="1">
      <alignment horizontal="center" vertical="top"/>
    </xf>
    <xf numFmtId="0" fontId="7" fillId="6" borderId="6" xfId="0" applyFont="1" applyFill="1" applyBorder="1" applyAlignment="1">
      <alignment horizontal="left" vertical="top" wrapText="1"/>
    </xf>
    <xf numFmtId="0" fontId="7" fillId="6" borderId="11" xfId="0" applyFont="1" applyFill="1" applyBorder="1" applyAlignment="1">
      <alignment horizontal="left" vertical="top" wrapText="1"/>
    </xf>
    <xf numFmtId="0" fontId="7" fillId="6" borderId="2" xfId="0" quotePrefix="1" applyFont="1" applyFill="1" applyBorder="1" applyAlignment="1">
      <alignment horizontal="center" vertical="top" wrapText="1"/>
    </xf>
    <xf numFmtId="0" fontId="7" fillId="6" borderId="18" xfId="0" applyFont="1" applyFill="1" applyBorder="1" applyAlignment="1">
      <alignment horizontal="left" vertical="top" wrapText="1"/>
    </xf>
    <xf numFmtId="49" fontId="7" fillId="0" borderId="2" xfId="0" applyNumberFormat="1" applyFont="1" applyFill="1" applyBorder="1" applyAlignment="1">
      <alignment horizontal="center" vertical="top" wrapText="1"/>
    </xf>
    <xf numFmtId="49" fontId="7" fillId="0" borderId="7" xfId="0" applyNumberFormat="1" applyFont="1" applyFill="1" applyBorder="1" applyAlignment="1">
      <alignment horizontal="center" vertical="top" wrapText="1"/>
    </xf>
    <xf numFmtId="49" fontId="7" fillId="6" borderId="10" xfId="0" applyNumberFormat="1" applyFont="1" applyFill="1" applyBorder="1" applyAlignment="1">
      <alignment horizontal="center" vertical="top" wrapText="1"/>
    </xf>
    <xf numFmtId="49" fontId="7" fillId="0" borderId="6" xfId="0" applyNumberFormat="1" applyFont="1" applyFill="1" applyBorder="1" applyAlignment="1">
      <alignment horizontal="center" vertical="top" wrapText="1"/>
    </xf>
    <xf numFmtId="49" fontId="7" fillId="0" borderId="18" xfId="0" applyNumberFormat="1" applyFont="1" applyFill="1" applyBorder="1" applyAlignment="1">
      <alignment horizontal="center" vertical="top" wrapText="1"/>
    </xf>
    <xf numFmtId="49" fontId="7" fillId="6" borderId="6" xfId="0" applyNumberFormat="1" applyFont="1" applyFill="1" applyBorder="1" applyAlignment="1">
      <alignment horizontal="center" vertical="top" wrapText="1"/>
    </xf>
    <xf numFmtId="49" fontId="7" fillId="6" borderId="11" xfId="0" applyNumberFormat="1" applyFont="1" applyFill="1" applyBorder="1" applyAlignment="1">
      <alignment horizontal="center" vertical="top" wrapText="1"/>
    </xf>
    <xf numFmtId="0" fontId="7" fillId="6" borderId="7" xfId="0" quotePrefix="1" applyFont="1" applyFill="1" applyBorder="1" applyAlignment="1">
      <alignment horizontal="left" vertical="top" wrapText="1"/>
    </xf>
    <xf numFmtId="0" fontId="7" fillId="6" borderId="9" xfId="0" quotePrefix="1" applyFont="1" applyFill="1" applyBorder="1" applyAlignment="1">
      <alignment horizontal="left" vertical="top" wrapText="1"/>
    </xf>
    <xf numFmtId="0" fontId="7" fillId="6" borderId="7" xfId="0" applyFont="1" applyFill="1" applyBorder="1" applyAlignment="1">
      <alignment horizontal="center" vertical="top"/>
    </xf>
    <xf numFmtId="0" fontId="7" fillId="6" borderId="10" xfId="0" applyFont="1" applyFill="1" applyBorder="1" applyAlignment="1">
      <alignment horizontal="center" vertical="top"/>
    </xf>
    <xf numFmtId="0" fontId="7" fillId="6" borderId="12" xfId="0" applyFont="1" applyFill="1" applyBorder="1" applyAlignment="1">
      <alignment horizontal="center" vertical="top"/>
    </xf>
    <xf numFmtId="0" fontId="7" fillId="6" borderId="9" xfId="0" applyFont="1" applyFill="1" applyBorder="1" applyAlignment="1">
      <alignment horizontal="center" vertical="top"/>
    </xf>
    <xf numFmtId="49" fontId="7" fillId="6" borderId="7" xfId="0" applyNumberFormat="1" applyFont="1" applyFill="1" applyBorder="1" applyAlignment="1">
      <alignment horizontal="center" vertical="top" wrapText="1"/>
    </xf>
    <xf numFmtId="49" fontId="7" fillId="6" borderId="9" xfId="0" applyNumberFormat="1" applyFont="1" applyFill="1" applyBorder="1" applyAlignment="1">
      <alignment horizontal="center" vertical="top" wrapText="1"/>
    </xf>
    <xf numFmtId="0" fontId="7" fillId="0" borderId="2" xfId="0" applyFont="1" applyBorder="1" applyAlignment="1">
      <alignment horizontal="left" vertical="top" wrapText="1"/>
    </xf>
    <xf numFmtId="0" fontId="23" fillId="10" borderId="7" xfId="0" applyFont="1" applyFill="1" applyBorder="1" applyAlignment="1">
      <alignment horizontal="left" vertical="center" wrapText="1"/>
    </xf>
    <xf numFmtId="0" fontId="23" fillId="10" borderId="10" xfId="0" applyFont="1" applyFill="1" applyBorder="1" applyAlignment="1">
      <alignment horizontal="left" vertical="center" wrapText="1"/>
    </xf>
    <xf numFmtId="0" fontId="23" fillId="10" borderId="9" xfId="0" applyFont="1" applyFill="1" applyBorder="1" applyAlignment="1">
      <alignment horizontal="left" vertical="center" wrapText="1"/>
    </xf>
    <xf numFmtId="0" fontId="23" fillId="0" borderId="7"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9" xfId="0" applyFont="1" applyBorder="1" applyAlignment="1">
      <alignment horizontal="center" vertical="center" wrapText="1"/>
    </xf>
    <xf numFmtId="0" fontId="9" fillId="4" borderId="3" xfId="0" applyFont="1" applyFill="1" applyBorder="1" applyAlignment="1">
      <alignment vertical="center" wrapText="1"/>
    </xf>
    <xf numFmtId="0" fontId="9" fillId="4" borderId="4" xfId="0" applyFont="1" applyFill="1" applyBorder="1" applyAlignment="1">
      <alignment vertical="center" wrapText="1"/>
    </xf>
    <xf numFmtId="0" fontId="9" fillId="9" borderId="3" xfId="0" applyFont="1" applyFill="1" applyBorder="1" applyAlignment="1">
      <alignment horizontal="left" vertical="center" wrapText="1"/>
    </xf>
    <xf numFmtId="0" fontId="9" fillId="9" borderId="4" xfId="0" applyFont="1" applyFill="1" applyBorder="1" applyAlignment="1">
      <alignment horizontal="left" vertical="center" wrapText="1"/>
    </xf>
    <xf numFmtId="0" fontId="23" fillId="6" borderId="7" xfId="0" applyFont="1" applyFill="1" applyBorder="1" applyAlignment="1">
      <alignment horizontal="left" vertical="center" wrapText="1"/>
    </xf>
    <xf numFmtId="0" fontId="23" fillId="6" borderId="10" xfId="0" applyFont="1" applyFill="1" applyBorder="1" applyAlignment="1">
      <alignment horizontal="left" vertical="center" wrapText="1"/>
    </xf>
    <xf numFmtId="0" fontId="23" fillId="6" borderId="9" xfId="0" applyFont="1" applyFill="1" applyBorder="1" applyAlignment="1">
      <alignment horizontal="left" vertical="center" wrapText="1"/>
    </xf>
    <xf numFmtId="0" fontId="2" fillId="9" borderId="5"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8" fillId="0" borderId="7" xfId="0" applyFont="1" applyBorder="1" applyAlignment="1">
      <alignment horizontal="center" vertical="center"/>
    </xf>
    <xf numFmtId="0" fontId="8" fillId="0" borderId="10" xfId="0" applyFont="1" applyBorder="1" applyAlignment="1">
      <alignment horizontal="center" vertical="center"/>
    </xf>
    <xf numFmtId="0" fontId="8" fillId="0" borderId="9" xfId="0" applyFont="1" applyBorder="1" applyAlignment="1">
      <alignment horizontal="center" vertical="center"/>
    </xf>
    <xf numFmtId="0" fontId="9" fillId="5" borderId="2" xfId="0" applyFont="1" applyFill="1" applyBorder="1" applyAlignment="1">
      <alignment horizontal="left" vertical="center"/>
    </xf>
    <xf numFmtId="0" fontId="7" fillId="0" borderId="2" xfId="0" quotePrefix="1" applyFont="1" applyBorder="1" applyAlignment="1">
      <alignment horizontal="center" vertical="top" wrapText="1"/>
    </xf>
    <xf numFmtId="49" fontId="7" fillId="0" borderId="2" xfId="0" applyNumberFormat="1" applyFont="1" applyBorder="1" applyAlignment="1">
      <alignment horizontal="center" vertical="top" wrapText="1"/>
    </xf>
    <xf numFmtId="0" fontId="7" fillId="0" borderId="2" xfId="0" applyFont="1" applyFill="1" applyBorder="1" applyAlignment="1">
      <alignment horizontal="left" vertical="top" wrapText="1"/>
    </xf>
    <xf numFmtId="0" fontId="7" fillId="0" borderId="7" xfId="0" applyFont="1" applyBorder="1" applyAlignment="1">
      <alignment horizontal="center" vertical="top" wrapText="1"/>
    </xf>
    <xf numFmtId="0" fontId="7" fillId="0" borderId="10" xfId="0" applyFont="1" applyBorder="1" applyAlignment="1">
      <alignment horizontal="center" vertical="top" wrapText="1"/>
    </xf>
    <xf numFmtId="0" fontId="7" fillId="0" borderId="9" xfId="0" applyFont="1" applyBorder="1" applyAlignment="1">
      <alignment horizontal="center" vertical="top" wrapText="1"/>
    </xf>
    <xf numFmtId="0" fontId="7" fillId="0" borderId="7" xfId="0" applyFont="1" applyFill="1" applyBorder="1" applyAlignment="1">
      <alignment horizontal="left" vertical="top" wrapText="1"/>
    </xf>
    <xf numFmtId="0" fontId="7" fillId="0" borderId="10" xfId="0" applyFont="1" applyFill="1" applyBorder="1" applyAlignment="1">
      <alignment horizontal="left" vertical="top" wrapText="1"/>
    </xf>
    <xf numFmtId="0" fontId="7" fillId="0" borderId="9" xfId="0" applyFont="1" applyFill="1" applyBorder="1" applyAlignment="1">
      <alignment horizontal="left" vertical="top" wrapText="1"/>
    </xf>
    <xf numFmtId="0" fontId="7" fillId="0" borderId="7" xfId="0" applyFont="1" applyBorder="1" applyAlignment="1">
      <alignment horizontal="center" vertical="top"/>
    </xf>
    <xf numFmtId="0" fontId="7" fillId="0" borderId="9" xfId="0" applyFont="1" applyBorder="1" applyAlignment="1">
      <alignment horizontal="center" vertical="top"/>
    </xf>
    <xf numFmtId="0" fontId="7" fillId="0" borderId="10" xfId="0" applyFont="1" applyBorder="1" applyAlignment="1">
      <alignment horizontal="center" vertical="top"/>
    </xf>
    <xf numFmtId="0" fontId="7" fillId="0" borderId="7" xfId="0" applyFont="1" applyBorder="1" applyAlignment="1">
      <alignment horizontal="left" vertical="top" wrapText="1"/>
    </xf>
    <xf numFmtId="0" fontId="7" fillId="0" borderId="9" xfId="0" applyFont="1" applyBorder="1" applyAlignment="1">
      <alignment horizontal="left" vertical="top" wrapText="1"/>
    </xf>
    <xf numFmtId="49" fontId="7" fillId="0" borderId="7" xfId="0" applyNumberFormat="1" applyFont="1" applyBorder="1" applyAlignment="1">
      <alignment horizontal="center" vertical="top" wrapText="1"/>
    </xf>
    <xf numFmtId="49" fontId="7" fillId="0" borderId="10" xfId="0" applyNumberFormat="1" applyFont="1" applyBorder="1" applyAlignment="1">
      <alignment horizontal="center" vertical="top" wrapText="1"/>
    </xf>
    <xf numFmtId="49" fontId="7" fillId="0" borderId="9" xfId="0" applyNumberFormat="1" applyFont="1" applyBorder="1" applyAlignment="1">
      <alignment horizontal="center" vertical="top" wrapText="1"/>
    </xf>
    <xf numFmtId="0" fontId="7" fillId="0" borderId="10" xfId="0" applyFont="1" applyBorder="1" applyAlignment="1">
      <alignment horizontal="left" vertical="top" wrapText="1"/>
    </xf>
    <xf numFmtId="49" fontId="7" fillId="0" borderId="7" xfId="0" quotePrefix="1" applyNumberFormat="1" applyFont="1" applyBorder="1" applyAlignment="1">
      <alignment horizontal="center" vertical="top" wrapText="1"/>
    </xf>
    <xf numFmtId="49" fontId="7" fillId="0" borderId="10" xfId="0" quotePrefix="1" applyNumberFormat="1" applyFont="1" applyBorder="1" applyAlignment="1">
      <alignment horizontal="center" vertical="top" wrapText="1"/>
    </xf>
    <xf numFmtId="0" fontId="7" fillId="0" borderId="2" xfId="0" applyFont="1" applyBorder="1" applyAlignment="1">
      <alignment horizontal="center" vertical="top"/>
    </xf>
    <xf numFmtId="0" fontId="12" fillId="6" borderId="2" xfId="0" applyFont="1" applyFill="1" applyBorder="1" applyAlignment="1">
      <alignment horizontal="center" vertical="top" wrapText="1"/>
    </xf>
    <xf numFmtId="0" fontId="7" fillId="6" borderId="7" xfId="0" applyFont="1" applyFill="1" applyBorder="1" applyAlignment="1">
      <alignment vertical="top" wrapText="1"/>
    </xf>
    <xf numFmtId="0" fontId="7" fillId="6" borderId="10" xfId="0" applyFont="1" applyFill="1" applyBorder="1" applyAlignment="1">
      <alignment vertical="top" wrapText="1"/>
    </xf>
    <xf numFmtId="0" fontId="7" fillId="6" borderId="9" xfId="0" applyFont="1" applyFill="1" applyBorder="1" applyAlignment="1">
      <alignment vertical="top" wrapText="1"/>
    </xf>
    <xf numFmtId="0" fontId="7" fillId="0" borderId="2" xfId="0" quotePrefix="1" applyFont="1" applyFill="1" applyBorder="1" applyAlignment="1">
      <alignment horizontal="center" vertical="center" wrapText="1"/>
    </xf>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0" fontId="8" fillId="6" borderId="7" xfId="0" applyFont="1" applyFill="1" applyBorder="1" applyAlignment="1">
      <alignment horizontal="center" vertical="center"/>
    </xf>
    <xf numFmtId="0" fontId="8" fillId="6" borderId="10" xfId="0" applyFont="1" applyFill="1" applyBorder="1" applyAlignment="1">
      <alignment horizontal="center" vertical="center"/>
    </xf>
    <xf numFmtId="0" fontId="23" fillId="0" borderId="7" xfId="0" applyFont="1" applyFill="1" applyBorder="1" applyAlignment="1">
      <alignment horizontal="left" vertical="center" wrapText="1"/>
    </xf>
    <xf numFmtId="0" fontId="23" fillId="0" borderId="10" xfId="0" applyFont="1" applyFill="1" applyBorder="1" applyAlignment="1">
      <alignment horizontal="left" vertical="center" wrapText="1"/>
    </xf>
    <xf numFmtId="0" fontId="23" fillId="0" borderId="7" xfId="0" applyFont="1" applyFill="1" applyBorder="1" applyAlignment="1">
      <alignment horizontal="center" vertical="center" wrapText="1"/>
    </xf>
    <xf numFmtId="0" fontId="23" fillId="0" borderId="10" xfId="0" applyFont="1" applyFill="1" applyBorder="1" applyAlignment="1">
      <alignment horizontal="center" vertical="center" wrapText="1"/>
    </xf>
    <xf numFmtId="0" fontId="5" fillId="0" borderId="2" xfId="1" applyFill="1" applyBorder="1" applyAlignment="1" applyProtection="1">
      <alignment horizontal="left"/>
    </xf>
    <xf numFmtId="0" fontId="16" fillId="0" borderId="2" xfId="2" applyFont="1" applyFill="1" applyBorder="1" applyAlignment="1" applyProtection="1">
      <alignment horizontal="left"/>
    </xf>
    <xf numFmtId="0" fontId="13" fillId="3" borderId="0" xfId="0" applyFont="1" applyFill="1" applyAlignment="1">
      <alignment horizontal="center"/>
    </xf>
    <xf numFmtId="0" fontId="17" fillId="0" borderId="2" xfId="0" applyFont="1" applyFill="1" applyBorder="1" applyAlignment="1">
      <alignment horizontal="center"/>
    </xf>
    <xf numFmtId="0" fontId="14" fillId="0" borderId="3" xfId="0" applyFont="1" applyFill="1" applyBorder="1"/>
    <xf numFmtId="0" fontId="14" fillId="0" borderId="1" xfId="0" applyFont="1" applyFill="1" applyBorder="1"/>
    <xf numFmtId="0" fontId="17" fillId="0" borderId="2" xfId="0" applyFont="1" applyBorder="1" applyAlignment="1">
      <alignment horizontal="center"/>
    </xf>
    <xf numFmtId="0" fontId="5" fillId="0" borderId="2" xfId="1" applyBorder="1" applyAlignment="1" applyProtection="1">
      <alignment horizontal="center"/>
    </xf>
    <xf numFmtId="0" fontId="16" fillId="0" borderId="2" xfId="2" applyFont="1" applyBorder="1" applyAlignment="1" applyProtection="1">
      <alignment horizontal="center"/>
    </xf>
    <xf numFmtId="0" fontId="22" fillId="8" borderId="2" xfId="0" applyFont="1" applyFill="1" applyBorder="1" applyAlignment="1">
      <alignment horizontal="center" vertical="center"/>
    </xf>
    <xf numFmtId="0" fontId="22" fillId="8" borderId="2" xfId="0" applyFont="1" applyFill="1" applyBorder="1" applyAlignment="1">
      <alignment horizontal="center" vertical="center" wrapText="1"/>
    </xf>
    <xf numFmtId="0" fontId="1" fillId="0" borderId="0" xfId="0" applyFont="1" applyAlignment="1">
      <alignment horizontal="center"/>
    </xf>
  </cellXfs>
  <cellStyles count="3">
    <cellStyle name="Hipervínculo 2" xfId="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re/ValidacionesGREv20220713_publicac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Guía-Remitente2_0"/>
      <sheetName val="Guía-Transportista2_0"/>
      <sheetName val="Catálogos"/>
      <sheetName val="CódigosRetorno"/>
      <sheetName val="Palabras Clave"/>
      <sheetName val="Control de Cambios"/>
    </sheetNames>
    <sheetDataSet>
      <sheetData sheetId="0"/>
      <sheetData sheetId="1"/>
      <sheetData sheetId="2"/>
      <sheetData sheetId="3"/>
      <sheetData sheetId="4">
        <row r="2">
          <cell r="A2" t="str">
            <v>-</v>
          </cell>
          <cell r="B2" t="str">
            <v>-</v>
          </cell>
        </row>
        <row r="3">
          <cell r="A3" t="str">
            <v>0100</v>
          </cell>
          <cell r="B3" t="str">
            <v>El sistema no puede responder su solicitud. Intente nuevamente o comuníquese con su Administrador</v>
          </cell>
        </row>
        <row r="4">
          <cell r="A4" t="str">
            <v>0101</v>
          </cell>
          <cell r="B4" t="str">
            <v>El encabezado de seguridad es incorrecto</v>
          </cell>
        </row>
        <row r="5">
          <cell r="A5" t="str">
            <v>0102</v>
          </cell>
          <cell r="B5" t="str">
            <v>Usuario o contrasena incorrectos</v>
          </cell>
        </row>
        <row r="6">
          <cell r="A6" t="str">
            <v>0103</v>
          </cell>
          <cell r="B6" t="str">
            <v>El Usuario ingresado no existe</v>
          </cell>
        </row>
        <row r="7">
          <cell r="A7" t="str">
            <v>0104</v>
          </cell>
          <cell r="B7" t="str">
            <v>La Clave ingresada es incorrecta</v>
          </cell>
        </row>
        <row r="8">
          <cell r="A8" t="str">
            <v>0105</v>
          </cell>
          <cell r="B8" t="str">
            <v>El Usuario no está activo</v>
          </cell>
        </row>
        <row r="9">
          <cell r="A9" t="str">
            <v>0106</v>
          </cell>
          <cell r="B9" t="str">
            <v>El Usuario no es válido</v>
          </cell>
        </row>
        <row r="10">
          <cell r="A10" t="str">
            <v>0109</v>
          </cell>
          <cell r="B10" t="str">
            <v>El sistema no puede responder su solicitud. (El servicio de autenticación no está disponible)</v>
          </cell>
        </row>
        <row r="11">
          <cell r="A11" t="str">
            <v>0110</v>
          </cell>
          <cell r="B11" t="str">
            <v>No se pudo obtener la informacion del tipo de usuario</v>
          </cell>
        </row>
        <row r="12">
          <cell r="A12" t="str">
            <v>0111</v>
          </cell>
          <cell r="B12" t="str">
            <v>No tiene el perfil para enviar comprobantes electronicos</v>
          </cell>
        </row>
        <row r="13">
          <cell r="A13" t="str">
            <v>0112</v>
          </cell>
          <cell r="B13" t="str">
            <v>El usuario debe ser secundario</v>
          </cell>
        </row>
        <row r="14">
          <cell r="A14" t="str">
            <v>0113</v>
          </cell>
          <cell r="B14" t="str">
            <v>El usuario no esta afiliado a Factura Electronica</v>
          </cell>
        </row>
        <row r="15">
          <cell r="A15" t="str">
            <v>0125</v>
          </cell>
          <cell r="B15" t="str">
            <v>No se pudo obtener la constancia</v>
          </cell>
        </row>
        <row r="16">
          <cell r="A16" t="str">
            <v>0126</v>
          </cell>
          <cell r="B16" t="str">
            <v>El ticket no le pertenece al usuario</v>
          </cell>
        </row>
        <row r="17">
          <cell r="A17" t="str">
            <v>0127</v>
          </cell>
          <cell r="B17" t="str">
            <v>El ticket no existe</v>
          </cell>
        </row>
        <row r="18">
          <cell r="A18" t="str">
            <v>0130</v>
          </cell>
          <cell r="B18" t="str">
            <v>El sistema no puede responder su solicitud. (No se pudo obtener el ticket de proceso)</v>
          </cell>
        </row>
        <row r="19">
          <cell r="A19" t="str">
            <v>0131</v>
          </cell>
          <cell r="B19" t="str">
            <v>El sistema no puede responder su solicitud. (No se pudo grabar el archivo en el directorio)</v>
          </cell>
        </row>
        <row r="20">
          <cell r="A20" t="str">
            <v>0132</v>
          </cell>
          <cell r="B20" t="str">
            <v>El sistema no puede responder su solicitud. (No se pudo grabar escribir en el archivo zip)</v>
          </cell>
        </row>
        <row r="21">
          <cell r="A21" t="str">
            <v>0133</v>
          </cell>
          <cell r="B21" t="str">
            <v>El sistema no puede responder su solicitud. (No se pudo grabar la entrada del log)</v>
          </cell>
        </row>
        <row r="22">
          <cell r="A22" t="str">
            <v>0134</v>
          </cell>
          <cell r="B22" t="str">
            <v>El sistema no puede responder su solicitud. (No se pudo grabar en el storage)</v>
          </cell>
        </row>
        <row r="23">
          <cell r="A23" t="str">
            <v>0135</v>
          </cell>
          <cell r="B23" t="str">
            <v>El sistema no puede responder su solicitud. (No se pudo encolar el pedido)</v>
          </cell>
        </row>
        <row r="24">
          <cell r="A24" t="str">
            <v>0136</v>
          </cell>
          <cell r="B24" t="str">
            <v>El sistema no puede responder su solicitud. (No se pudo recibir una respuesta del batch)</v>
          </cell>
        </row>
        <row r="25">
          <cell r="A25" t="str">
            <v>0137</v>
          </cell>
          <cell r="B25" t="str">
            <v>El sistema no puede responder su solicitud. (Se obtuvo una respuesta nula)</v>
          </cell>
        </row>
        <row r="26">
          <cell r="A26" t="str">
            <v>0138</v>
          </cell>
          <cell r="B26" t="str">
            <v>El sistema no puede responder su solicitud. (Error en Base de Datos)</v>
          </cell>
        </row>
        <row r="27">
          <cell r="A27" t="str">
            <v>0140</v>
          </cell>
          <cell r="B27" t="str">
            <v>Existe un Documento igual en Proceso.</v>
          </cell>
        </row>
        <row r="28">
          <cell r="A28" t="str">
            <v>0151</v>
          </cell>
          <cell r="B28" t="str">
            <v>El nombre del archivo ZIP es incorrecto</v>
          </cell>
        </row>
        <row r="29">
          <cell r="A29" t="str">
            <v>0152</v>
          </cell>
          <cell r="B29" t="str">
            <v>No se puede enviar por este método un archivo de resumen</v>
          </cell>
        </row>
        <row r="30">
          <cell r="A30" t="str">
            <v>0153</v>
          </cell>
          <cell r="B30" t="str">
            <v>No se puede enviar por este método un archivo por lotes</v>
          </cell>
        </row>
        <row r="31">
          <cell r="A31" t="str">
            <v>0154</v>
          </cell>
          <cell r="B31" t="str">
            <v>El RUC del archivo no corresponde al RUC del usuario o el proveedor no esta autorizado a enviar comprobantes del contribuyente</v>
          </cell>
        </row>
        <row r="32">
          <cell r="A32" t="str">
            <v>0155</v>
          </cell>
          <cell r="B32" t="str">
            <v>El archivo ZIP esta vacio</v>
          </cell>
        </row>
        <row r="33">
          <cell r="A33" t="str">
            <v>0156</v>
          </cell>
          <cell r="B33" t="str">
            <v>El archivo ZIP esta corrupto</v>
          </cell>
        </row>
        <row r="34">
          <cell r="A34" t="str">
            <v>0157</v>
          </cell>
          <cell r="B34" t="str">
            <v>El archivo ZIP no contiene comprobantes</v>
          </cell>
        </row>
        <row r="35">
          <cell r="A35" t="str">
            <v>0158</v>
          </cell>
          <cell r="B35" t="str">
            <v>El archivo ZIP contiene demasiados comprobantes para este tipo de envío</v>
          </cell>
        </row>
        <row r="36">
          <cell r="A36" t="str">
            <v>0159</v>
          </cell>
          <cell r="B36" t="str">
            <v>El nombre del archivo XML es incorrecto</v>
          </cell>
        </row>
        <row r="37">
          <cell r="A37" t="str">
            <v>0160</v>
          </cell>
          <cell r="B37" t="str">
            <v>El archivo XML esta vacio</v>
          </cell>
        </row>
        <row r="38">
          <cell r="A38" t="str">
            <v>0161</v>
          </cell>
          <cell r="B38" t="str">
            <v>El nombre del archivo XML no coincide con el nombre del archivo ZIP</v>
          </cell>
        </row>
        <row r="39">
          <cell r="A39" t="str">
            <v>0200</v>
          </cell>
          <cell r="B39" t="str">
            <v>No se pudo procesar su solicitud. (Ocurrio un error en el batch)</v>
          </cell>
        </row>
        <row r="40">
          <cell r="A40" t="str">
            <v>0201</v>
          </cell>
          <cell r="B40" t="str">
            <v>No se pudo procesar su solicitud. (Llego un requerimiento nulo al batch)</v>
          </cell>
        </row>
        <row r="41">
          <cell r="A41" t="str">
            <v>0202</v>
          </cell>
          <cell r="B41" t="str">
            <v>No se pudo procesar su solicitud. (No llego información del archivo ZIP)</v>
          </cell>
        </row>
        <row r="42">
          <cell r="A42" t="str">
            <v>0203</v>
          </cell>
          <cell r="B42" t="str">
            <v>No se pudo procesar su solicitud. (No se encontro archivos en la informacion del archivo ZIP)</v>
          </cell>
        </row>
        <row r="43">
          <cell r="A43" t="str">
            <v>0204</v>
          </cell>
          <cell r="B43" t="str">
            <v>No se pudo procesar su solicitud. (Este tipo de requerimiento solo acepta 1 archivo)</v>
          </cell>
        </row>
        <row r="44">
          <cell r="A44" t="str">
            <v>0250</v>
          </cell>
          <cell r="B44" t="str">
            <v>No se pudo procesar su solicitud. (Ocurrio un error desconocido al hacer unzip)</v>
          </cell>
        </row>
        <row r="45">
          <cell r="A45" t="str">
            <v>0251</v>
          </cell>
          <cell r="B45" t="str">
            <v>No se pudo procesar su solicitud. (No se pudo crear un directorio para el unzip)</v>
          </cell>
        </row>
        <row r="46">
          <cell r="A46" t="str">
            <v>0252</v>
          </cell>
          <cell r="B46" t="str">
            <v>No se pudo procesar su solicitud. (No se encontro archivos dentro del zip)</v>
          </cell>
        </row>
        <row r="47">
          <cell r="A47" t="str">
            <v>0253</v>
          </cell>
          <cell r="B47" t="str">
            <v>No se pudo procesar su solicitud. (No se pudo comprimir la constancia)</v>
          </cell>
        </row>
        <row r="48">
          <cell r="A48" t="str">
            <v>0254</v>
          </cell>
          <cell r="B48" t="str">
            <v>No se pudo procesar su solicitud. (No se pudo enviar el mensaje)</v>
          </cell>
        </row>
        <row r="49">
          <cell r="A49" t="str">
            <v>0300</v>
          </cell>
          <cell r="B49" t="str">
            <v>No se encontró la raíz documento xml</v>
          </cell>
        </row>
        <row r="50">
          <cell r="A50" t="str">
            <v>0301</v>
          </cell>
          <cell r="B50" t="str">
            <v>Elemento raiz del xml no esta definido</v>
          </cell>
        </row>
        <row r="51">
          <cell r="A51" t="str">
            <v>0302</v>
          </cell>
          <cell r="B51" t="str">
            <v>Codigo del tipo de comprobante no registrado</v>
          </cell>
        </row>
        <row r="52">
          <cell r="A52" t="str">
            <v>0303</v>
          </cell>
          <cell r="B52" t="str">
            <v>No existe el directorio de schemas</v>
          </cell>
        </row>
        <row r="53">
          <cell r="A53" t="str">
            <v>0304</v>
          </cell>
          <cell r="B53" t="str">
            <v>No existe el archivo de schema</v>
          </cell>
        </row>
        <row r="54">
          <cell r="A54" t="str">
            <v>0305</v>
          </cell>
          <cell r="B54" t="str">
            <v>El sistema no puede procesar el archivo xml</v>
          </cell>
        </row>
        <row r="55">
          <cell r="A55" t="str">
            <v>0306</v>
          </cell>
          <cell r="B55" t="str">
            <v>No se puede leer (parsear) el archivo XML</v>
          </cell>
        </row>
        <row r="56">
          <cell r="A56" t="str">
            <v>0307</v>
          </cell>
          <cell r="B56" t="str">
            <v>No se pudo recuperar la constancia</v>
          </cell>
        </row>
        <row r="57">
          <cell r="A57" t="str">
            <v>0400</v>
          </cell>
          <cell r="B57" t="str">
            <v>No tiene permiso para enviar casos de pruebas</v>
          </cell>
        </row>
        <row r="58">
          <cell r="A58" t="str">
            <v>0401</v>
          </cell>
          <cell r="B58" t="str">
            <v>El caso de prueba no existe</v>
          </cell>
        </row>
        <row r="59">
          <cell r="A59" t="str">
            <v>0402</v>
          </cell>
          <cell r="B59" t="str">
            <v>La numeracion o nombre del documento ya ha sido enviado anteriormente</v>
          </cell>
        </row>
        <row r="60">
          <cell r="A60" t="str">
            <v>0403</v>
          </cell>
          <cell r="B60" t="str">
            <v>El documento afectado por la nota no existe</v>
          </cell>
        </row>
        <row r="61">
          <cell r="A61" t="str">
            <v>0404</v>
          </cell>
          <cell r="B61" t="str">
            <v>El documento afectado por la nota se encuentra rechazado</v>
          </cell>
        </row>
        <row r="62">
          <cell r="A62" t="str">
            <v>1001</v>
          </cell>
          <cell r="B62" t="str">
            <v>ID - El dato SERIE-CORRELATIVO no cumple con el formato de acuerdo al tipo de comprobante</v>
          </cell>
        </row>
        <row r="63">
          <cell r="A63" t="str">
            <v>1002</v>
          </cell>
          <cell r="B63" t="str">
            <v>El XML no contiene informacion en el tag ID</v>
          </cell>
        </row>
        <row r="64">
          <cell r="A64" t="str">
            <v>1003</v>
          </cell>
          <cell r="B64" t="str">
            <v>InvoiceTypeCode - El valor del tipo de documento es invalido o no coincide con el nombre del archivo</v>
          </cell>
        </row>
        <row r="65">
          <cell r="A65" t="str">
            <v>1004</v>
          </cell>
          <cell r="B65" t="str">
            <v>El XML no contiene el tag o no existe informacion de InvoiceTypeCode</v>
          </cell>
        </row>
        <row r="66">
          <cell r="A66" t="str">
            <v>1005</v>
          </cell>
          <cell r="B66" t="str">
            <v>CustomerAssignedAccountID -  El dato ingresado no cumple con el estandar</v>
          </cell>
        </row>
        <row r="67">
          <cell r="A67" t="str">
            <v>1006</v>
          </cell>
          <cell r="B67" t="str">
            <v>El XML no contiene el tag o no existe informacion de CustomerAssignedAccountID del emisor del documento</v>
          </cell>
        </row>
        <row r="68">
          <cell r="A68" t="str">
            <v>1007</v>
          </cell>
          <cell r="B68" t="str">
            <v>El dato ingresado no cumple con el estandar</v>
          </cell>
        </row>
        <row r="69">
          <cell r="A69" t="str">
            <v>1008</v>
          </cell>
          <cell r="B69" t="str">
            <v>El XML no contiene el tag o no existe informacion en tipo de documento del emisor.</v>
          </cell>
        </row>
        <row r="70">
          <cell r="A70" t="str">
            <v>1009</v>
          </cell>
          <cell r="B70" t="str">
            <v>IssueDate - El dato ingresado  no cumple con el patron YYYY-MM-DD</v>
          </cell>
        </row>
        <row r="71">
          <cell r="A71" t="str">
            <v>1010</v>
          </cell>
          <cell r="B71" t="str">
            <v>El XML no contiene el tag IssueDate</v>
          </cell>
        </row>
        <row r="72">
          <cell r="A72" t="str">
            <v>1011</v>
          </cell>
          <cell r="B72" t="str">
            <v>IssueDate- El dato ingresado no es valido</v>
          </cell>
        </row>
        <row r="73">
          <cell r="A73" t="str">
            <v>1012</v>
          </cell>
          <cell r="B73" t="str">
            <v>ID - El dato ingresado no cumple con el patron SERIE-CORRELATIVO</v>
          </cell>
        </row>
        <row r="74">
          <cell r="A74" t="str">
            <v>1013</v>
          </cell>
          <cell r="B74" t="str">
            <v>El XML no contiene informacion en el tag ID</v>
          </cell>
        </row>
        <row r="75">
          <cell r="A75" t="str">
            <v>1014</v>
          </cell>
          <cell r="B75" t="str">
            <v>CustomerAssignedAccountID - El dato ingresado no cumple con el estandar</v>
          </cell>
        </row>
        <row r="76">
          <cell r="A76" t="str">
            <v>1015</v>
          </cell>
          <cell r="B76" t="str">
            <v>El XML no contiene el tag o no existe informacion de CustomerAssignedAccountID del emisor del documento</v>
          </cell>
        </row>
        <row r="77">
          <cell r="A77" t="str">
            <v>1016</v>
          </cell>
          <cell r="B77" t="str">
            <v>AdditionalAccountID - El dato ingresado no cumple con el estandar</v>
          </cell>
        </row>
        <row r="78">
          <cell r="A78" t="str">
            <v>1017</v>
          </cell>
          <cell r="B78" t="str">
            <v>El XML no contiene el tag AdditionalAccountID del emisor del documento</v>
          </cell>
        </row>
        <row r="79">
          <cell r="A79" t="str">
            <v>1018</v>
          </cell>
          <cell r="B79" t="str">
            <v>IssueDate - El dato ingresado no cumple con el patron YYYY-MM-DD</v>
          </cell>
        </row>
        <row r="80">
          <cell r="A80" t="str">
            <v>1019</v>
          </cell>
          <cell r="B80" t="str">
            <v>El XML no contiene el tag IssueDate</v>
          </cell>
        </row>
        <row r="81">
          <cell r="A81" t="str">
            <v>1020</v>
          </cell>
          <cell r="B81" t="str">
            <v>IssueDate- El dato ingresado no es valido</v>
          </cell>
        </row>
        <row r="82">
          <cell r="A82" t="str">
            <v>1021</v>
          </cell>
          <cell r="B82" t="str">
            <v>Error en la validacion de la nota de credito</v>
          </cell>
        </row>
        <row r="83">
          <cell r="A83" t="str">
            <v>1022</v>
          </cell>
          <cell r="B83" t="str">
            <v>La serie o numero del documento modificado por la Nota Electrónica no cumple con el formato establecido</v>
          </cell>
        </row>
        <row r="84">
          <cell r="A84" t="str">
            <v>1023</v>
          </cell>
          <cell r="B84" t="str">
            <v>No se ha especificado el tipo de documento modificado por la Nota electronica</v>
          </cell>
        </row>
        <row r="85">
          <cell r="A85" t="str">
            <v>1024</v>
          </cell>
          <cell r="B85" t="str">
            <v>CustomerAssignedAccountID - El dato ingresado no cumple con el estandar</v>
          </cell>
        </row>
        <row r="86">
          <cell r="A86" t="str">
            <v>1025</v>
          </cell>
          <cell r="B86" t="str">
            <v>El XML no contiene el tag o no existe informacion de CustomerAssignedAccountID del emisor del documento</v>
          </cell>
        </row>
        <row r="87">
          <cell r="A87" t="str">
            <v>1026</v>
          </cell>
          <cell r="B87" t="str">
            <v>AdditionalAccountID - El dato ingresado no cumple con el estandar</v>
          </cell>
        </row>
        <row r="88">
          <cell r="A88" t="str">
            <v>1027</v>
          </cell>
          <cell r="B88" t="str">
            <v>El XML no contiene el tag AdditionalAccountID del emisor del documento</v>
          </cell>
        </row>
        <row r="89">
          <cell r="A89" t="str">
            <v>1028</v>
          </cell>
          <cell r="B89" t="str">
            <v>IssueDate - El dato ingresado no cumple con el patron YYYY-MM-DD</v>
          </cell>
        </row>
        <row r="90">
          <cell r="A90" t="str">
            <v>1029</v>
          </cell>
          <cell r="B90" t="str">
            <v>El XML no contiene el tag IssueDate</v>
          </cell>
        </row>
        <row r="91">
          <cell r="A91" t="str">
            <v>1030</v>
          </cell>
          <cell r="B91" t="str">
            <v>IssueDate- El dato ingresado no es valido</v>
          </cell>
        </row>
        <row r="92">
          <cell r="A92" t="str">
            <v>1031</v>
          </cell>
          <cell r="B92" t="str">
            <v>Error en la validacion de la nota de debito</v>
          </cell>
        </row>
        <row r="93">
          <cell r="A93" t="str">
            <v>1032</v>
          </cell>
          <cell r="B93" t="str">
            <v>El comprobante ya esta informado y se encuentra con estado anulado o rechazado</v>
          </cell>
        </row>
        <row r="94">
          <cell r="A94" t="str">
            <v>1033</v>
          </cell>
          <cell r="B94" t="str">
            <v>El comprobante fue registrado previamente con otros datos</v>
          </cell>
        </row>
        <row r="95">
          <cell r="A95" t="str">
            <v>1034</v>
          </cell>
          <cell r="B95" t="str">
            <v>Número de RUC del nombre del archivo no coincide con el consignado en el contenido del archivo XML</v>
          </cell>
        </row>
        <row r="96">
          <cell r="A96" t="str">
            <v>1035</v>
          </cell>
          <cell r="B96" t="str">
            <v>Numero de Serie del nombre del archivo no coincide con el consignado en el contenido del archivo XML</v>
          </cell>
        </row>
        <row r="97">
          <cell r="A97" t="str">
            <v>1036</v>
          </cell>
          <cell r="B97" t="str">
            <v>Número de documento en el nombre del archivo no coincide con el consignado en el contenido del XML</v>
          </cell>
        </row>
        <row r="98">
          <cell r="A98" t="str">
            <v>1037</v>
          </cell>
          <cell r="B98" t="str">
            <v>El XML no contiene el tag o no existe informacion de RegistrationName del emisor del documento</v>
          </cell>
        </row>
        <row r="99">
          <cell r="A99" t="str">
            <v>1038</v>
          </cell>
          <cell r="B99" t="str">
            <v>RegistrationName - El nombre o razon social del emisor no cumple con el estandar</v>
          </cell>
        </row>
        <row r="100">
          <cell r="A100" t="str">
            <v>1039</v>
          </cell>
          <cell r="B100" t="str">
            <v>Solo se pueden recibir notas electronicas que modifican facturas</v>
          </cell>
        </row>
        <row r="101">
          <cell r="A101" t="str">
            <v>1040</v>
          </cell>
          <cell r="B101" t="str">
            <v>El tipo de documento modificado por la nota electronica no es valido</v>
          </cell>
        </row>
        <row r="102">
          <cell r="A102" t="str">
            <v>1041</v>
          </cell>
          <cell r="B102" t="str">
            <v>cac:PrepaidPayment/cbc:ID - El tag no contiene el atributo @SchemaID. que indica el tipo de documento que realiza el anticipo</v>
          </cell>
        </row>
        <row r="103">
          <cell r="A103" t="str">
            <v>1042</v>
          </cell>
          <cell r="B103" t="str">
            <v>cac:PrepaidPayment/cbc:InstructionID - El tag no contiene el atributo @SchemaID. Que indica el tipo de documento del emisor del documento del anticipo.</v>
          </cell>
        </row>
        <row r="104">
          <cell r="A104" t="str">
            <v>1043</v>
          </cell>
          <cell r="B104" t="str">
            <v>cac:OriginatorDocumentReference/cbc:ID - El tag no contiene el atributo @SchemaID. Que indica el tipo de documento del originador del documento electrónico.</v>
          </cell>
        </row>
        <row r="105">
          <cell r="A105" t="str">
            <v>1044</v>
          </cell>
          <cell r="B105" t="str">
            <v>cac:PrepaidPayment/cbc:InstructionID - El dato ingresado no cumple con el estándar.</v>
          </cell>
        </row>
        <row r="106">
          <cell r="A106" t="str">
            <v>1045</v>
          </cell>
          <cell r="B106" t="str">
            <v>cac:OriginatorDocumentReference/cbc:ID - El dato ingresado no cumple con el estándar.</v>
          </cell>
        </row>
        <row r="107">
          <cell r="A107" t="str">
            <v>1046</v>
          </cell>
          <cell r="B107" t="str">
            <v>cbc:Amount - El dato ingresado no cumple con el estándar.</v>
          </cell>
        </row>
        <row r="108">
          <cell r="A108" t="str">
            <v>1047</v>
          </cell>
          <cell r="B108" t="str">
            <v>cbc:Quantity - El dato ingresado no cumple con el estándar.</v>
          </cell>
        </row>
        <row r="109">
          <cell r="A109" t="str">
            <v>1048</v>
          </cell>
          <cell r="B109" t="str">
            <v>El XML no contiene el tag o no existe información de PrepaidAmount para un documento con anticipo.</v>
          </cell>
        </row>
        <row r="110">
          <cell r="A110" t="str">
            <v>1049</v>
          </cell>
          <cell r="B110" t="str">
            <v>ID - Serie y Número del archivo no coincide con el consignado en el contenido del XML.</v>
          </cell>
        </row>
        <row r="111">
          <cell r="A111" t="str">
            <v>1050</v>
          </cell>
          <cell r="B111" t="str">
            <v>El XML no contiene informacion en el tag DespatchAdviceTypeCode.</v>
          </cell>
        </row>
        <row r="112">
          <cell r="A112" t="str">
            <v>1051</v>
          </cell>
          <cell r="B112" t="str">
            <v>DespatchAdviceTypeCode - El valor del tipo de guía es inválido.</v>
          </cell>
        </row>
        <row r="113">
          <cell r="A113" t="str">
            <v>1052</v>
          </cell>
          <cell r="B113" t="str">
            <v>DespatchAdviceTypeCode - No coincide con el consignado en el contenido del XML.</v>
          </cell>
        </row>
        <row r="114">
          <cell r="A114" t="str">
            <v>1053</v>
          </cell>
          <cell r="B114" t="str">
            <v>cac:OrderReference - El XML no contiene informacion en serie y numero dado de baja (cbc:ID).</v>
          </cell>
        </row>
        <row r="115">
          <cell r="A115" t="str">
            <v>1054</v>
          </cell>
          <cell r="B115" t="str">
            <v>cac:OrderReference - El valor en numero de documento no cumple con un formato valido (SERIE-NUMERO).</v>
          </cell>
        </row>
        <row r="116">
          <cell r="A116" t="str">
            <v>1055</v>
          </cell>
          <cell r="B116" t="str">
            <v>cac:OrderReference - Numero de serie del documento no cumple con un formato valido (EG01 ó TXXX).</v>
          </cell>
        </row>
        <row r="117">
          <cell r="A117" t="str">
            <v>1056</v>
          </cell>
          <cell r="B117" t="str">
            <v>cac:OrderReference - El XML no contiene informacion en el código de tipo de documento (cbc:OrderTypeCode).</v>
          </cell>
        </row>
        <row r="118">
          <cell r="A118" t="str">
            <v>1057</v>
          </cell>
          <cell r="B118" t="str">
            <v>cac:AdditionalDocumentReference - El XML no contiene el tag o no existe información en el numero de documento adicional (cbc:ID).</v>
          </cell>
        </row>
        <row r="119">
          <cell r="A119" t="str">
            <v>1058</v>
          </cell>
          <cell r="B119" t="str">
            <v>cac:AdditionalDocumentReference - El XML no contiene el tag o no existe información en el tipo de documento adicional (cbc:DocumentTypeCode).</v>
          </cell>
        </row>
        <row r="120">
          <cell r="A120" t="str">
            <v>1059</v>
          </cell>
          <cell r="B120" t="str">
            <v>El XML no contiene firma digital.</v>
          </cell>
        </row>
        <row r="121">
          <cell r="A121" t="str">
            <v>1060</v>
          </cell>
          <cell r="B121" t="str">
            <v>cac:Shipment - El XML no contiene el tag o no existe informacion del numero de RUC del Remitente (cac:).</v>
          </cell>
        </row>
        <row r="122">
          <cell r="A122" t="str">
            <v>1061</v>
          </cell>
          <cell r="B122" t="str">
            <v>El numero de RUC del Remitente no existe.</v>
          </cell>
        </row>
        <row r="123">
          <cell r="A123" t="str">
            <v>1062</v>
          </cell>
          <cell r="B123" t="str">
            <v>El XML no contiene el atributo o no existe informacion del motivo de traslado.</v>
          </cell>
        </row>
        <row r="124">
          <cell r="A124" t="str">
            <v>1063</v>
          </cell>
          <cell r="B124" t="str">
            <v>El valor ingresado como motivo de traslado no es valido.</v>
          </cell>
        </row>
        <row r="125">
          <cell r="A125" t="str">
            <v>1064</v>
          </cell>
          <cell r="B125" t="str">
            <v>El XML no contiene el atributo o no existe informacion en el tag cac:DespatchLine de bienes a transportar.</v>
          </cell>
        </row>
        <row r="126">
          <cell r="A126" t="str">
            <v>1065</v>
          </cell>
          <cell r="B126" t="str">
            <v>El XML no contiene el atributo o no existe informacion en modalidad de transporte.</v>
          </cell>
        </row>
        <row r="127">
          <cell r="A127" t="str">
            <v>1066</v>
          </cell>
          <cell r="B127" t="str">
            <v>El XML no contiene el atributo o no existe informacion de datos del transportista.</v>
          </cell>
        </row>
        <row r="128">
          <cell r="A128" t="str">
            <v>1067</v>
          </cell>
          <cell r="B128" t="str">
            <v>El XML no contiene el atributo o no existe información de vehiculos.</v>
          </cell>
        </row>
        <row r="129">
          <cell r="A129" t="str">
            <v>1068</v>
          </cell>
          <cell r="B129" t="str">
            <v>El XML no contiene el atributo o no existe información de conductores.</v>
          </cell>
        </row>
        <row r="130">
          <cell r="A130" t="str">
            <v>1069</v>
          </cell>
          <cell r="B130" t="str">
            <v>El XML no contiene el atributo o no existe información de la fecha de inicio de traslado o fecha de entrega del bien al transportista.</v>
          </cell>
        </row>
        <row r="131">
          <cell r="A131" t="str">
            <v>1070</v>
          </cell>
          <cell r="B131" t="str">
            <v>El valor ingresado  como fecha de inicio o fecha de entrega al transportista no cumple con el estandar (YYYY-MM-DD).</v>
          </cell>
        </row>
        <row r="132">
          <cell r="A132" t="str">
            <v>1071</v>
          </cell>
          <cell r="B132" t="str">
            <v>El valor ingresado  como fecha de inicio o fecha de entrega al transportista no es valido.</v>
          </cell>
        </row>
        <row r="133">
          <cell r="A133" t="str">
            <v>1072</v>
          </cell>
          <cell r="B133" t="str">
            <v>Starttime - El dato ingresado  no cumple con el patron HH:mm:ss.SZ.</v>
          </cell>
        </row>
        <row r="134">
          <cell r="A134" t="str">
            <v>1073</v>
          </cell>
          <cell r="B134" t="str">
            <v>StartTime - El dato ingresado no es valido.</v>
          </cell>
        </row>
        <row r="135">
          <cell r="A135" t="str">
            <v>1074</v>
          </cell>
          <cell r="B135" t="str">
            <v>cac:Shipment - El XML no contiene o no existe información en punto de llegada (cac:DeliveryAddress).</v>
          </cell>
        </row>
        <row r="136">
          <cell r="A136" t="str">
            <v>1075</v>
          </cell>
          <cell r="B136" t="str">
            <v>cac:Shipment - El XML no contiene o no existe información en punto de partida (cac:OriginAddress).</v>
          </cell>
        </row>
        <row r="137">
          <cell r="A137" t="str">
            <v>1076</v>
          </cell>
          <cell r="B137" t="str">
            <v>El XML no contiene el atributo o no existe información de sustento de traslado de mercaderias para el tipo de operación.</v>
          </cell>
        </row>
        <row r="138">
          <cell r="A138" t="str">
            <v>1077</v>
          </cell>
          <cell r="B138" t="str">
            <v>El XML contiene el tag de sustento de traslado de mercaderias que no corresponde al tipo de operación.</v>
          </cell>
        </row>
        <row r="139">
          <cell r="A139" t="str">
            <v>1078</v>
          </cell>
          <cell r="B139" t="str">
            <v>El emisor no se encuentra autorizado a emitir en el SEE-Desde los sistemas del contribuyente</v>
          </cell>
        </row>
        <row r="140">
          <cell r="A140" t="str">
            <v>1079</v>
          </cell>
          <cell r="B140" t="str">
            <v>Solo puede enviar el comprobante en un resumen diario</v>
          </cell>
        </row>
        <row r="141">
          <cell r="A141" t="str">
            <v>1080</v>
          </cell>
          <cell r="B141" t="str">
            <v>Debe enviar su comprobante por el SEE-Empresas supervisadas</v>
          </cell>
        </row>
        <row r="142">
          <cell r="A142" t="str">
            <v>1081</v>
          </cell>
          <cell r="B142" t="str">
            <v>Por el servicio REST de recepcion solo se reciben comprobantes asociados a servicios publicos</v>
          </cell>
        </row>
        <row r="143">
          <cell r="A143" t="str">
            <v>1082</v>
          </cell>
          <cell r="B143" t="str">
            <v>Por el servicio SOAP de recepcion no se reciben comprobantes asociados a servicios publicos</v>
          </cell>
        </row>
        <row r="144">
          <cell r="A144" t="str">
            <v>1083</v>
          </cell>
          <cell r="B144" t="str">
            <v>El numero de RUC del receptor no existe.</v>
          </cell>
        </row>
        <row r="145">
          <cell r="A145" t="str">
            <v>1084</v>
          </cell>
          <cell r="B145" t="str">
            <v>Comprobante de contingencia ya fue informado por su resumen, si desea modificarse debe realizarse por su primer canal de presentación</v>
          </cell>
        </row>
        <row r="146">
          <cell r="A146" t="str">
            <v>1085</v>
          </cell>
          <cell r="B146" t="str">
            <v>Debe enviar las guias de remisión por el nuevo sistema de recepción de guias electronicas</v>
          </cell>
        </row>
        <row r="147">
          <cell r="A147" t="str">
            <v>2010</v>
          </cell>
          <cell r="B147" t="str">
            <v>El contribuyente no esta activo</v>
          </cell>
        </row>
        <row r="148">
          <cell r="A148" t="str">
            <v>2011</v>
          </cell>
          <cell r="B148" t="str">
            <v>El contribuyente no esta habido</v>
          </cell>
        </row>
        <row r="149">
          <cell r="A149" t="str">
            <v>2012</v>
          </cell>
          <cell r="B149" t="str">
            <v>El contribuyente no está autorizado a emitir comprobantes electrónicos</v>
          </cell>
        </row>
        <row r="150">
          <cell r="A150" t="str">
            <v>2013</v>
          </cell>
          <cell r="B150" t="str">
            <v>El contribuyente no cumple con tipo de empresa o tributos requeridos</v>
          </cell>
        </row>
        <row r="151">
          <cell r="A151" t="str">
            <v>2014</v>
          </cell>
          <cell r="B151" t="str">
            <v>El XML no contiene el tag o no existe informacion del número de documento de identidad del receptor del documento</v>
          </cell>
        </row>
        <row r="152">
          <cell r="A152" t="str">
            <v>2015</v>
          </cell>
          <cell r="B152" t="str">
            <v>El XML no contiene el tag o no existe informacion del tipo de documento de identidad del receptor del documento</v>
          </cell>
        </row>
        <row r="153">
          <cell r="A153" t="str">
            <v>2016</v>
          </cell>
          <cell r="B153" t="str">
            <v>El dato ingresado  en el tipo de documento de identidad del receptor no cumple con el estandar o no esta permitido.</v>
          </cell>
        </row>
        <row r="154">
          <cell r="A154" t="str">
            <v>2017</v>
          </cell>
          <cell r="B154" t="str">
            <v>El numero de documento de identidad del receptor debe ser  RUC</v>
          </cell>
        </row>
        <row r="155">
          <cell r="A155" t="str">
            <v>2018</v>
          </cell>
          <cell r="B155" t="str">
            <v>El dato ingresado no cumple con el estandar</v>
          </cell>
        </row>
        <row r="156">
          <cell r="A156" t="str">
            <v>2019</v>
          </cell>
          <cell r="B156" t="str">
            <v>El XML no contiene el tag o no existe informacion de nombre o razon social del emisor del documento</v>
          </cell>
        </row>
        <row r="157">
          <cell r="A157" t="str">
            <v>2020</v>
          </cell>
          <cell r="B157" t="str">
            <v>El nombre o razon social del emisor no cumple con el estandar</v>
          </cell>
        </row>
        <row r="158">
          <cell r="A158" t="str">
            <v>2021</v>
          </cell>
          <cell r="B158" t="str">
            <v>El XML no contiene el tag o no existe informacion de RegistrationName del receptor del documento</v>
          </cell>
        </row>
        <row r="159">
          <cell r="A159" t="str">
            <v>2022</v>
          </cell>
          <cell r="B159" t="str">
            <v>RegistrationName -  El dato ingresado no cumple con el estandar</v>
          </cell>
        </row>
        <row r="160">
          <cell r="A160" t="str">
            <v>2023</v>
          </cell>
          <cell r="B160" t="str">
            <v>El Numero de orden del item no cumple con el formato establecido</v>
          </cell>
        </row>
        <row r="161">
          <cell r="A161" t="str">
            <v>2024</v>
          </cell>
          <cell r="B161" t="str">
            <v>El XML no contiene el tag InvoicedQuantity en el detalle de los Items o es cero (0)</v>
          </cell>
        </row>
        <row r="162">
          <cell r="A162" t="str">
            <v>2025</v>
          </cell>
          <cell r="B162" t="str">
            <v>InvoicedQuantity El dato ingresado no cumple con el estandar</v>
          </cell>
        </row>
        <row r="163">
          <cell r="A163" t="str">
            <v>2026</v>
          </cell>
          <cell r="B163" t="str">
            <v>El XML no contiene el tag cac:Item/cbc:Description en el detalle de los Items</v>
          </cell>
        </row>
        <row r="164">
          <cell r="A164" t="str">
            <v>2027</v>
          </cell>
          <cell r="B164" t="str">
            <v>El XML no contiene el tag o no existe informacion de cac:Item/cbc:Description del item</v>
          </cell>
        </row>
        <row r="165">
          <cell r="A165" t="str">
            <v>2028</v>
          </cell>
          <cell r="B165" t="str">
            <v>Debe existir el tag cac:AlternativeConditionPrice</v>
          </cell>
        </row>
        <row r="166">
          <cell r="A166" t="str">
            <v>2029</v>
          </cell>
          <cell r="B166" t="str">
            <v>PriceTypeCode El dato ingresado no cumple con el estandar</v>
          </cell>
        </row>
        <row r="167">
          <cell r="A167" t="str">
            <v>2030</v>
          </cell>
          <cell r="B167" t="str">
            <v>El XML no contiene el tag cbc:PriceTypeCode</v>
          </cell>
        </row>
        <row r="168">
          <cell r="A168" t="str">
            <v>2031</v>
          </cell>
          <cell r="B168" t="str">
            <v>El dato ingresado en total valor de venta no cumple con el estandar</v>
          </cell>
        </row>
        <row r="169">
          <cell r="A169" t="str">
            <v>2032</v>
          </cell>
          <cell r="B169" t="str">
            <v>El XML no contiene el tag LineExtensionAmount en el detalle de los Items</v>
          </cell>
        </row>
        <row r="170">
          <cell r="A170" t="str">
            <v>2033</v>
          </cell>
          <cell r="B170" t="str">
            <v>El dato ingresado en TaxAmount de la linea no cumple con el formato establecido</v>
          </cell>
        </row>
        <row r="171">
          <cell r="A171" t="str">
            <v>2034</v>
          </cell>
          <cell r="B171" t="str">
            <v>TaxAmount es obligatorio</v>
          </cell>
        </row>
        <row r="172">
          <cell r="A172" t="str">
            <v>2035</v>
          </cell>
          <cell r="B172" t="str">
            <v>cac:TaxCategory/cac:TaxScheme/cbc:ID El dato ingresado no cumple con el estandar</v>
          </cell>
        </row>
        <row r="173">
          <cell r="A173" t="str">
            <v>2036</v>
          </cell>
          <cell r="B173" t="str">
            <v>El codigo del tributo es invalido</v>
          </cell>
        </row>
        <row r="174">
          <cell r="A174" t="str">
            <v>2037</v>
          </cell>
          <cell r="B174" t="str">
            <v>El XML no contiene el tag cac:TaxCategory/cac:TaxScheme/cbc:ID del Item</v>
          </cell>
        </row>
        <row r="175">
          <cell r="A175" t="str">
            <v>2038</v>
          </cell>
          <cell r="B175" t="str">
            <v>cac:TaxScheme/cbc:Name del item - No existe el tag o el dato ingresado no cumple con el estandar</v>
          </cell>
        </row>
        <row r="176">
          <cell r="A176" t="str">
            <v>2039</v>
          </cell>
          <cell r="B176" t="str">
            <v>El XML no contiene el tag cac:TaxCategory/cac:TaxScheme/cbc:Name del Item</v>
          </cell>
        </row>
        <row r="177">
          <cell r="A177" t="str">
            <v>2040</v>
          </cell>
          <cell r="B177" t="str">
            <v>El tipo de afectacion del IGV es incorrecto</v>
          </cell>
        </row>
        <row r="178">
          <cell r="A178" t="str">
            <v>2041</v>
          </cell>
          <cell r="B178" t="str">
            <v>El sistema de calculo del ISC es incorrecto</v>
          </cell>
        </row>
        <row r="179">
          <cell r="A179" t="str">
            <v>2042</v>
          </cell>
          <cell r="B179" t="str">
            <v>Debe indicar el IGV. Es un campo obligatorio</v>
          </cell>
        </row>
        <row r="180">
          <cell r="A180" t="str">
            <v>2043</v>
          </cell>
          <cell r="B180" t="str">
            <v>El dato ingresado en PayableAmount no cumple con el formato establecido</v>
          </cell>
        </row>
        <row r="181">
          <cell r="A181" t="str">
            <v>2044</v>
          </cell>
          <cell r="B181" t="str">
            <v>PayableAmount es obligatorio</v>
          </cell>
        </row>
        <row r="182">
          <cell r="A182" t="str">
            <v>2045</v>
          </cell>
          <cell r="B182" t="str">
            <v>El valor ingresado en AdditionalMonetaryTotal/cbc:ID es incorrecto</v>
          </cell>
        </row>
        <row r="183">
          <cell r="A183" t="str">
            <v>2046</v>
          </cell>
          <cell r="B183" t="str">
            <v>AdditionalMonetaryTotal/cbc:ID debe tener valor</v>
          </cell>
        </row>
        <row r="184">
          <cell r="A184" t="str">
            <v>2047</v>
          </cell>
          <cell r="B184" t="str">
            <v>Es obligatorio al menos un AdditionalMonetaryTotal con codigo 1001, 1002, 1003 o 3001</v>
          </cell>
        </row>
        <row r="185">
          <cell r="A185" t="str">
            <v>2048</v>
          </cell>
          <cell r="B185" t="str">
            <v>El dato ingresado en TaxAmount no cumple con el formato establecido</v>
          </cell>
        </row>
        <row r="186">
          <cell r="A186" t="str">
            <v>2049</v>
          </cell>
          <cell r="B186" t="str">
            <v>TaxAmount es obligatorio</v>
          </cell>
        </row>
        <row r="187">
          <cell r="A187" t="str">
            <v>2050</v>
          </cell>
          <cell r="B187" t="str">
            <v>TaxScheme ID - No existe el tag o el dato ingresado no cumple con el estandar</v>
          </cell>
        </row>
        <row r="188">
          <cell r="A188" t="str">
            <v>2051</v>
          </cell>
          <cell r="B188" t="str">
            <v>El codigo del tributo es invalido</v>
          </cell>
        </row>
        <row r="189">
          <cell r="A189" t="str">
            <v>2052</v>
          </cell>
          <cell r="B189" t="str">
            <v>El XML no contiene el tag código de tributo internacional de impuestos globales</v>
          </cell>
        </row>
        <row r="190">
          <cell r="A190" t="str">
            <v>2053</v>
          </cell>
          <cell r="B190" t="str">
            <v>TaxScheme Name - No existe el tag o el dato ingresado no cumple con el estandar</v>
          </cell>
        </row>
        <row r="191">
          <cell r="A191" t="str">
            <v>2054</v>
          </cell>
          <cell r="B191" t="str">
            <v>El XML no contiene el tag TaxScheme Name de impuestos globales</v>
          </cell>
        </row>
        <row r="192">
          <cell r="A192" t="str">
            <v>2055</v>
          </cell>
          <cell r="B192" t="str">
            <v>TaxScheme TaxTypeCode - El dato ingresado no cumple con el estandar</v>
          </cell>
        </row>
        <row r="193">
          <cell r="A193" t="str">
            <v>2056</v>
          </cell>
          <cell r="B193" t="str">
            <v>El XML no contiene el tag TaxScheme TaxTypeCode de impuestos globales</v>
          </cell>
        </row>
        <row r="194">
          <cell r="A194" t="str">
            <v>2057</v>
          </cell>
          <cell r="B194" t="str">
            <v>El Name o TaxTypeCode debe corresponder con el Id para el IGV</v>
          </cell>
        </row>
        <row r="195">
          <cell r="A195" t="str">
            <v>2058</v>
          </cell>
          <cell r="B195" t="str">
            <v>El Name o TaxTypeCode debe corresponder con el Id para el ISC</v>
          </cell>
        </row>
        <row r="196">
          <cell r="A196" t="str">
            <v>2059</v>
          </cell>
          <cell r="B196" t="str">
            <v>El dato ingresado en TaxSubtotal/cbc:TaxAmount no cumple con el formato establecido</v>
          </cell>
        </row>
        <row r="197">
          <cell r="A197" t="str">
            <v>2060</v>
          </cell>
          <cell r="B197" t="str">
            <v>TaxSubtotal/cbc:TaxAmount es obligatorio</v>
          </cell>
        </row>
        <row r="198">
          <cell r="A198" t="str">
            <v>2061</v>
          </cell>
          <cell r="B198" t="str">
            <v>El tag global cac:TaxTotal/cbc:TaxAmount debe tener el mismo valor que cac:TaxTotal/cac:Subtotal/cbc:TaxAmount</v>
          </cell>
        </row>
        <row r="199">
          <cell r="A199" t="str">
            <v>2062</v>
          </cell>
          <cell r="B199" t="str">
            <v>El dato ingresado en PayableAmount no cumple con el formato establecido</v>
          </cell>
        </row>
        <row r="200">
          <cell r="A200" t="str">
            <v>2063</v>
          </cell>
          <cell r="B200" t="str">
            <v>El XML no contiene el tag PayableAmount</v>
          </cell>
        </row>
        <row r="201">
          <cell r="A201" t="str">
            <v>2064</v>
          </cell>
          <cell r="B201" t="str">
            <v>El dato ingresado en ChargeTotalAmount no cumple con el formato establecido</v>
          </cell>
        </row>
        <row r="202">
          <cell r="A202" t="str">
            <v>2065</v>
          </cell>
          <cell r="B202" t="str">
            <v>El dato ingresado en el campo Total Descuentos no cumple con el formato establecido</v>
          </cell>
        </row>
        <row r="203">
          <cell r="A203" t="str">
            <v>2066</v>
          </cell>
          <cell r="B203" t="str">
            <v>Debe indicar una descripcion para el tag sac:AdditionalProperty/cbc:Value</v>
          </cell>
        </row>
        <row r="204">
          <cell r="A204" t="str">
            <v>2067</v>
          </cell>
          <cell r="B204" t="str">
            <v>cac:Price/cbc:PriceAmount - El dato ingresado no cumple con el estandar</v>
          </cell>
        </row>
        <row r="205">
          <cell r="A205" t="str">
            <v>2068</v>
          </cell>
          <cell r="B205" t="str">
            <v>El XML no contiene el tag cac:Price/cbc:PriceAmount en el detalle de los Items</v>
          </cell>
        </row>
        <row r="206">
          <cell r="A206" t="str">
            <v>2069</v>
          </cell>
          <cell r="B206" t="str">
            <v>DocumentCurrencyCode - El dato ingresado no cumple con la estructura</v>
          </cell>
        </row>
        <row r="207">
          <cell r="A207" t="str">
            <v>2070</v>
          </cell>
          <cell r="B207" t="str">
            <v>El XML no contiene el tag o no existe informacion de DocumentCurrencyCode</v>
          </cell>
        </row>
        <row r="208">
          <cell r="A208" t="str">
            <v>2071</v>
          </cell>
          <cell r="B208" t="str">
            <v>La moneda debe ser la misma en todo el documento. Salvo las percepciones que sólo son en moneda nacional</v>
          </cell>
        </row>
        <row r="209">
          <cell r="A209" t="str">
            <v>2072</v>
          </cell>
          <cell r="B209" t="str">
            <v>CustomizationID - La versión del documento no es la correcta</v>
          </cell>
        </row>
        <row r="210">
          <cell r="A210" t="str">
            <v>2073</v>
          </cell>
          <cell r="B210" t="str">
            <v>El XML no existe informacion de CustomizationID</v>
          </cell>
        </row>
        <row r="211">
          <cell r="A211" t="str">
            <v>2074</v>
          </cell>
          <cell r="B211" t="str">
            <v>UBLVersionID - La versión del UBL no es correcta</v>
          </cell>
        </row>
        <row r="212">
          <cell r="A212" t="str">
            <v>2075</v>
          </cell>
          <cell r="B212" t="str">
            <v>El XML no contiene el tag o no existe informacion de UBLVersionID</v>
          </cell>
        </row>
        <row r="213">
          <cell r="A213" t="str">
            <v>2076</v>
          </cell>
          <cell r="B213" t="str">
            <v>cac:Signature/cbc:ID - Falta el identificador de la firma</v>
          </cell>
        </row>
        <row r="214">
          <cell r="A214" t="str">
            <v>2077</v>
          </cell>
          <cell r="B214" t="str">
            <v>El tag cac:Signature/cbc:ID debe contener informacion</v>
          </cell>
        </row>
        <row r="215">
          <cell r="A215" t="str">
            <v>2078</v>
          </cell>
          <cell r="B215" t="str">
            <v>cac:Signature/cac:SignatoryParty/cac:PartyIdentification/cbc:ID - Debe ser igual al RUC del emisor</v>
          </cell>
        </row>
        <row r="216">
          <cell r="A216" t="str">
            <v>2079</v>
          </cell>
          <cell r="B216" t="str">
            <v>El XML no contiene el tag cac:Signature/cac:SignatoryParty/cac:PartyIdentification/cbc:ID</v>
          </cell>
        </row>
        <row r="217">
          <cell r="A217" t="str">
            <v>2080</v>
          </cell>
          <cell r="B217" t="str">
            <v>cac:Signature/cac:SignatoryParty/cac:PartyName/cbc:Name - No cumple con el estandar</v>
          </cell>
        </row>
        <row r="218">
          <cell r="A218" t="str">
            <v>2081</v>
          </cell>
          <cell r="B218" t="str">
            <v>El XML no contiene el tag cac:Signature/cac:SignatoryParty/cac:PartyName/cbc:Name</v>
          </cell>
        </row>
        <row r="219">
          <cell r="A219" t="str">
            <v>2082</v>
          </cell>
          <cell r="B219" t="str">
            <v>cac:Signature/cac:DigitalSignatureAttachment/cac:ExternalReference/cbc:URI - No cumple con el estandar</v>
          </cell>
        </row>
        <row r="220">
          <cell r="A220" t="str">
            <v>2083</v>
          </cell>
          <cell r="B220" t="str">
            <v>El XML no contiene el tag cac:Signature/cac:DigitalSignatureAttachment/cac:ExternalReference/cbc:URI</v>
          </cell>
        </row>
        <row r="221">
          <cell r="A221" t="str">
            <v>2084</v>
          </cell>
          <cell r="B221" t="str">
            <v>ext:UBLExtensions/ext:UBLExtension/ext:ExtensionContent/ds:Signature/@Id - No cumple con el estandar</v>
          </cell>
        </row>
        <row r="222">
          <cell r="A222" t="str">
            <v>2085</v>
          </cell>
          <cell r="B222" t="str">
            <v>El XML no contiene el tag ext:UBLExtensions/ext:UBLExtension/ext:ExtensionContent/ds:Signature/@Id</v>
          </cell>
        </row>
        <row r="223">
          <cell r="A223" t="str">
            <v>2086</v>
          </cell>
          <cell r="B223" t="str">
            <v>ext:UBLExtensions/.../ds:Signature/ds:SignedInfo/ds:CanonicalizationMethod/@Algorithm - No cumple con el estandar</v>
          </cell>
        </row>
        <row r="224">
          <cell r="A224" t="str">
            <v>2087</v>
          </cell>
          <cell r="B224" t="str">
            <v>El XML no contiene el tag ext:UBLExtensions/.../ds:Signature/ds:SignedInfo/ds:CanonicalizationMethod/@Algorithm</v>
          </cell>
        </row>
        <row r="225">
          <cell r="A225" t="str">
            <v>2088</v>
          </cell>
          <cell r="B225" t="str">
            <v>ext:UBLExtensions/.../ds:Signature/ds:SignedInfo/ds:SignatureMethod/@Algorithm - No cumple con el estandar</v>
          </cell>
        </row>
        <row r="226">
          <cell r="A226" t="str">
            <v>2089</v>
          </cell>
          <cell r="B226" t="str">
            <v>El XML no contiene el tag ext:UBLExtensions/.../ds:Signature/ds:SignedInfo/ds:SignatureMethod/@Algorithm</v>
          </cell>
        </row>
        <row r="227">
          <cell r="A227" t="str">
            <v>2090</v>
          </cell>
          <cell r="B227" t="str">
            <v>ext:UBLExtensions/.../ds:Signature/ds:SignedInfo/ds:Reference/@URI - Debe estar vacio para id</v>
          </cell>
        </row>
        <row r="228">
          <cell r="A228" t="str">
            <v>2091</v>
          </cell>
          <cell r="B228" t="str">
            <v>El XML no contiene el tag ext:UBLExtensions/.../ds:Signature/ds:SignedInfo/ds:Reference/@URI</v>
          </cell>
        </row>
        <row r="229">
          <cell r="A229" t="str">
            <v>2092</v>
          </cell>
          <cell r="B229" t="str">
            <v>ext:UBLExtensions/.../ds:Signature/ds:SignedInfo/.../ds:Transform@Algorithm - No cumple con el estandar</v>
          </cell>
        </row>
        <row r="230">
          <cell r="A230" t="str">
            <v>2093</v>
          </cell>
          <cell r="B230" t="str">
            <v>El XML no contiene el tag ext:UBLExtensions/.../ds:Signature/ds:SignedInfo/ds:Reference/ds:Transform@Algorithm</v>
          </cell>
        </row>
        <row r="231">
          <cell r="A231" t="str">
            <v>2094</v>
          </cell>
          <cell r="B231" t="str">
            <v>ext:UBLExtensions/.../ds:Signature/ds:SignedInfo/ds:Reference/ds:DigestMethod/@Algorithm - No cumple con el estandar</v>
          </cell>
        </row>
        <row r="232">
          <cell r="A232" t="str">
            <v>2095</v>
          </cell>
          <cell r="B232" t="str">
            <v>El XML no contiene el tag ext:UBLExtensions/.../ds:Signature/ds:SignedInfo/ds:Reference/ds:DigestMethod/@Algorithm</v>
          </cell>
        </row>
        <row r="233">
          <cell r="A233" t="str">
            <v>2096</v>
          </cell>
          <cell r="B233" t="str">
            <v>ext:UBLExtensions/.../ds:Signature/ds:SignedInfo/ds:Reference/ds:DigestValue - No  cumple con el estandar</v>
          </cell>
        </row>
        <row r="234">
          <cell r="A234" t="str">
            <v>2097</v>
          </cell>
          <cell r="B234" t="str">
            <v>El XML no contiene el tag ext:UBLExtensions/.../ds:Signature/ds:SignedInfo/ds:Reference/ds:DigestValue</v>
          </cell>
        </row>
        <row r="235">
          <cell r="A235" t="str">
            <v>2098</v>
          </cell>
          <cell r="B235" t="str">
            <v>ext:UBLExtensions/.../ds:Signature/ds:SignatureValue - No cumple con el estandar</v>
          </cell>
        </row>
        <row r="236">
          <cell r="A236" t="str">
            <v>2099</v>
          </cell>
          <cell r="B236" t="str">
            <v>El XML no contiene el tag ext:UBLExtensions/.../ds:Signature/ds:SignatureValue</v>
          </cell>
        </row>
        <row r="237">
          <cell r="A237" t="str">
            <v>2100</v>
          </cell>
          <cell r="B237" t="str">
            <v>ext:UBLExtensions/.../ds:Signature/ds:KeyInfo/ds:X509Data/ds:X509Certificate - No cumple con el estandar</v>
          </cell>
        </row>
        <row r="238">
          <cell r="A238" t="str">
            <v>2101</v>
          </cell>
          <cell r="B238" t="str">
            <v>El XML no contiene el tag ext:UBLExtensions/.../ds:Signature/ds:KeyInfo/ds:X509Data/ds:X509Certificate</v>
          </cell>
        </row>
        <row r="239">
          <cell r="A239" t="str">
            <v>2102</v>
          </cell>
          <cell r="B239" t="str">
            <v>Error al procesar la factura</v>
          </cell>
        </row>
        <row r="240">
          <cell r="A240" t="str">
            <v>2103</v>
          </cell>
          <cell r="B240" t="str">
            <v>La serie ingresada no es válida</v>
          </cell>
        </row>
        <row r="241">
          <cell r="A241" t="str">
            <v>2104</v>
          </cell>
          <cell r="B241" t="str">
            <v>Numero de RUC del emisor no existe</v>
          </cell>
        </row>
        <row r="242">
          <cell r="A242" t="str">
            <v>2105</v>
          </cell>
          <cell r="B242" t="str">
            <v>Comprobante a dar de baja no se encuentra registrado en SUNAT</v>
          </cell>
        </row>
        <row r="243">
          <cell r="A243" t="str">
            <v>2106</v>
          </cell>
          <cell r="B243" t="str">
            <v>Factura a dar de baja ya se encuentra en estado de baja</v>
          </cell>
        </row>
        <row r="244">
          <cell r="A244" t="str">
            <v>2107</v>
          </cell>
          <cell r="B244" t="str">
            <v>Numero de RUC SOL no coincide con RUC emisor</v>
          </cell>
        </row>
        <row r="245">
          <cell r="A245" t="str">
            <v>2108</v>
          </cell>
          <cell r="B245" t="str">
            <v>Presentacion fuera de fecha</v>
          </cell>
        </row>
        <row r="246">
          <cell r="A246" t="str">
            <v>2109</v>
          </cell>
          <cell r="B246" t="str">
            <v>El comprobante fue registrado previamente con otros datos</v>
          </cell>
        </row>
        <row r="247">
          <cell r="A247" t="str">
            <v>2110</v>
          </cell>
          <cell r="B247" t="str">
            <v>UBLVersionID - La versión del UBL no es correcta</v>
          </cell>
        </row>
        <row r="248">
          <cell r="A248" t="str">
            <v>2111</v>
          </cell>
          <cell r="B248" t="str">
            <v>El XML no contiene el tag o no existe informacion de UBLVersionID</v>
          </cell>
        </row>
        <row r="249">
          <cell r="A249" t="str">
            <v>2112</v>
          </cell>
          <cell r="B249" t="str">
            <v>CustomizationID - La version del documento no es correcta</v>
          </cell>
        </row>
        <row r="250">
          <cell r="A250" t="str">
            <v>2113</v>
          </cell>
          <cell r="B250" t="str">
            <v>El XML no contiene el tag o no existe informacion de CustomizationID</v>
          </cell>
        </row>
        <row r="251">
          <cell r="A251" t="str">
            <v>2114</v>
          </cell>
          <cell r="B251" t="str">
            <v>DocumentCurrencyCode -  El dato ingresado no cumple con la estructura</v>
          </cell>
        </row>
        <row r="252">
          <cell r="A252" t="str">
            <v>2115</v>
          </cell>
          <cell r="B252" t="str">
            <v>El XML no contiene el tag o no existe informacion de DocumentCurrencyCode</v>
          </cell>
        </row>
        <row r="253">
          <cell r="A253" t="str">
            <v>2116</v>
          </cell>
          <cell r="B253" t="str">
            <v>El tipo de documento modificado por la Nota de credito debe ser factura electronica o ticket</v>
          </cell>
        </row>
        <row r="254">
          <cell r="A254" t="str">
            <v>2117</v>
          </cell>
          <cell r="B254" t="str">
            <v>La serie o numero del documento modificado por la Nota de Credito no cumple con el formato establecido</v>
          </cell>
        </row>
        <row r="255">
          <cell r="A255" t="str">
            <v>2118</v>
          </cell>
          <cell r="B255" t="str">
            <v>Debe indicar las facturas relacionadas a la Nota de Credito</v>
          </cell>
        </row>
        <row r="256">
          <cell r="A256" t="str">
            <v>2119</v>
          </cell>
          <cell r="B256" t="str">
            <v>El documento modificado en la Nota de credito no esta registrada.</v>
          </cell>
        </row>
        <row r="257">
          <cell r="A257" t="str">
            <v>2120</v>
          </cell>
          <cell r="B257" t="str">
            <v>El documento modificado en la Nota de credito se encuentra de baja</v>
          </cell>
        </row>
        <row r="258">
          <cell r="A258" t="str">
            <v>2121</v>
          </cell>
          <cell r="B258" t="str">
            <v>El documento modificado en la Nota de credito esta registrada como rechazada</v>
          </cell>
        </row>
        <row r="259">
          <cell r="A259" t="str">
            <v>2122</v>
          </cell>
          <cell r="B259" t="str">
            <v>El tag cac:LegalMonetaryTotal/cbc:PayableAmount debe tener informacion valida</v>
          </cell>
        </row>
        <row r="260">
          <cell r="A260" t="str">
            <v>2123</v>
          </cell>
          <cell r="B260" t="str">
            <v>RegistrationName -  El dato ingresado no cumple con el estandar</v>
          </cell>
        </row>
        <row r="261">
          <cell r="A261" t="str">
            <v>2124</v>
          </cell>
          <cell r="B261" t="str">
            <v>El XML no contiene el tag RegistrationName del emisor del documento</v>
          </cell>
        </row>
        <row r="262">
          <cell r="A262" t="str">
            <v>2125</v>
          </cell>
          <cell r="B262" t="str">
            <v>ReferenceID -  El dato ingresado debe indicar SERIE-CORRELATIVO del documento al que se relaciona la Nota</v>
          </cell>
        </row>
        <row r="263">
          <cell r="A263" t="str">
            <v>2126</v>
          </cell>
          <cell r="B263" t="str">
            <v>El XML no contiene informacion en el tag ReferenceID del documento al que se relaciona la nota</v>
          </cell>
        </row>
        <row r="264">
          <cell r="A264" t="str">
            <v>2127</v>
          </cell>
          <cell r="B264" t="str">
            <v>ResponseCode -  El dato ingresado no cumple  con  la  estructura</v>
          </cell>
        </row>
        <row r="265">
          <cell r="A265" t="str">
            <v>2128</v>
          </cell>
          <cell r="B265" t="str">
            <v>El XML no contiene el tag o no existe informacion de ResponseCode</v>
          </cell>
        </row>
        <row r="266">
          <cell r="A266" t="str">
            <v>2129</v>
          </cell>
          <cell r="B266" t="str">
            <v>AdditionalAccountID -  El dato ingresado  en el tipo de documento de identidad del receptor no cumple con el estandar</v>
          </cell>
        </row>
        <row r="267">
          <cell r="A267" t="str">
            <v>2130</v>
          </cell>
          <cell r="B267" t="str">
            <v>El XML no contiene el tag o no existe informacion de AdditionalAccountID del receptor del documento</v>
          </cell>
        </row>
        <row r="268">
          <cell r="A268" t="str">
            <v>2131</v>
          </cell>
          <cell r="B268" t="str">
            <v>CustomerAssignedAccountID - El numero de documento de identidad del receptor debe ser RUC</v>
          </cell>
        </row>
        <row r="269">
          <cell r="A269" t="str">
            <v>2132</v>
          </cell>
          <cell r="B269" t="str">
            <v>El XML no contiene el tag o no existe informacion de CustomerAssignedAccountID del receptor del documento</v>
          </cell>
        </row>
        <row r="270">
          <cell r="A270" t="str">
            <v>2133</v>
          </cell>
          <cell r="B270" t="str">
            <v>RegistrationName -  El dato ingresado no cumple con el estandar</v>
          </cell>
        </row>
        <row r="271">
          <cell r="A271" t="str">
            <v>2134</v>
          </cell>
          <cell r="B271" t="str">
            <v>El XML no contiene el tag o no existe informacion de RegistrationName del receptor del documento</v>
          </cell>
        </row>
        <row r="272">
          <cell r="A272" t="str">
            <v>2135</v>
          </cell>
          <cell r="B272" t="str">
            <v>cac:DiscrepancyResponse/cbc:Description - El dato ingresado no cumple con la estructura</v>
          </cell>
        </row>
        <row r="273">
          <cell r="A273" t="str">
            <v>2136</v>
          </cell>
          <cell r="B273" t="str">
            <v>El XML no contiene el tag o no existe informacion de cac:DiscrepancyResponse/cbc:Description</v>
          </cell>
        </row>
        <row r="274">
          <cell r="A274" t="str">
            <v>2137</v>
          </cell>
          <cell r="B274" t="str">
            <v>El Numero de orden del item no cumple con el formato establecido</v>
          </cell>
        </row>
        <row r="275">
          <cell r="A275" t="str">
            <v>2138</v>
          </cell>
          <cell r="B275" t="str">
            <v>CreditedQuantity/@unitCode - El dato ingresado no cumple con el estandar</v>
          </cell>
        </row>
        <row r="276">
          <cell r="A276" t="str">
            <v>2139</v>
          </cell>
          <cell r="B276" t="str">
            <v>CreditedQuantity - El dato ingresado no cumple con el estandar</v>
          </cell>
        </row>
        <row r="277">
          <cell r="A277" t="str">
            <v>2140</v>
          </cell>
          <cell r="B277" t="str">
            <v>El PriceTypeCode debe tener el valor 01</v>
          </cell>
        </row>
        <row r="278">
          <cell r="A278" t="str">
            <v>2141</v>
          </cell>
          <cell r="B278" t="str">
            <v>cac:TaxCategory/cac:TaxScheme/cbc:ID - El dato ingresado no cumple con el estandar</v>
          </cell>
        </row>
        <row r="279">
          <cell r="A279" t="str">
            <v>2142</v>
          </cell>
          <cell r="B279" t="str">
            <v>El codigo del tributo es invalido</v>
          </cell>
        </row>
        <row r="280">
          <cell r="A280" t="str">
            <v>2143</v>
          </cell>
          <cell r="B280" t="str">
            <v>cac:TaxScheme/cbc:Name del item - No existe el tag o el dato ingresado no cumple con el estandar</v>
          </cell>
        </row>
        <row r="281">
          <cell r="A281" t="str">
            <v>2144</v>
          </cell>
          <cell r="B281" t="str">
            <v>cac:TaxCategory/cac:TaxScheme/cbc:TaxTypeCode El dato ingresado no cumple con el estandar</v>
          </cell>
        </row>
        <row r="282">
          <cell r="A282" t="str">
            <v>2145</v>
          </cell>
          <cell r="B282" t="str">
            <v>El tipo de afectacion del IGV es incorrecto</v>
          </cell>
        </row>
        <row r="283">
          <cell r="A283" t="str">
            <v>2146</v>
          </cell>
          <cell r="B283" t="str">
            <v>El Nombre Internacional debe ser VAT</v>
          </cell>
        </row>
        <row r="284">
          <cell r="A284" t="str">
            <v>2147</v>
          </cell>
          <cell r="B284" t="str">
            <v>El sistema de calculo del ISC es incorrecto</v>
          </cell>
        </row>
        <row r="285">
          <cell r="A285" t="str">
            <v>2148</v>
          </cell>
          <cell r="B285" t="str">
            <v>El Nombre Internacional debe ser EXC</v>
          </cell>
        </row>
        <row r="286">
          <cell r="A286" t="str">
            <v>2149</v>
          </cell>
          <cell r="B286" t="str">
            <v>El dato ingresado en PayableAmount no cumple con el formato establecido</v>
          </cell>
        </row>
        <row r="287">
          <cell r="A287" t="str">
            <v>2150</v>
          </cell>
          <cell r="B287" t="str">
            <v>El valor ingresado en AdditionalMonetaryTotal/cbc:ID es incorrecto</v>
          </cell>
        </row>
        <row r="288">
          <cell r="A288" t="str">
            <v>2151</v>
          </cell>
          <cell r="B288" t="str">
            <v>AdditionalMonetaryTotal/cbc:ID debe tener valor</v>
          </cell>
        </row>
        <row r="289">
          <cell r="A289" t="str">
            <v>2152</v>
          </cell>
          <cell r="B289" t="str">
            <v>Es obligatorio al menos un AdditionalInformation</v>
          </cell>
        </row>
        <row r="290">
          <cell r="A290" t="str">
            <v>2153</v>
          </cell>
          <cell r="B290" t="str">
            <v>Error al procesar la Nota de Credito</v>
          </cell>
        </row>
        <row r="291">
          <cell r="A291" t="str">
            <v>2154</v>
          </cell>
          <cell r="B291" t="str">
            <v>TaxAmount - El dato ingresado en impuestos globales no cumple con el estandar</v>
          </cell>
        </row>
        <row r="292">
          <cell r="A292" t="str">
            <v>2155</v>
          </cell>
          <cell r="B292" t="str">
            <v>El XML no contiene el tag TaxAmount de impuestos globales</v>
          </cell>
        </row>
        <row r="293">
          <cell r="A293" t="str">
            <v>2156</v>
          </cell>
          <cell r="B293" t="str">
            <v>TaxScheme ID - El dato ingresado no cumple con el estandar</v>
          </cell>
        </row>
        <row r="294">
          <cell r="A294" t="str">
            <v>2157</v>
          </cell>
          <cell r="B294" t="str">
            <v>El codigo del tributo es invalido</v>
          </cell>
        </row>
        <row r="295">
          <cell r="A295" t="str">
            <v>2158</v>
          </cell>
          <cell r="B295" t="str">
            <v>El XML no contiene el tag o no existe informacion de TaxScheme ID de impuestos globales</v>
          </cell>
        </row>
        <row r="296">
          <cell r="A296" t="str">
            <v>2159</v>
          </cell>
          <cell r="B296" t="str">
            <v>TaxScheme Name - El dato ingresado no cumple con el estandar</v>
          </cell>
        </row>
        <row r="297">
          <cell r="A297" t="str">
            <v>2160</v>
          </cell>
          <cell r="B297" t="str">
            <v>El XML no contiene el tag o no existe informacion de TaxScheme Name de impuestos globales</v>
          </cell>
        </row>
        <row r="298">
          <cell r="A298" t="str">
            <v>2161</v>
          </cell>
          <cell r="B298" t="str">
            <v>CustomizationID - La version del documento no es correcta</v>
          </cell>
        </row>
        <row r="299">
          <cell r="A299" t="str">
            <v>2162</v>
          </cell>
          <cell r="B299" t="str">
            <v>El XML no contiene el tag o no existe informacion de CustomizationID</v>
          </cell>
        </row>
        <row r="300">
          <cell r="A300" t="str">
            <v>2163</v>
          </cell>
          <cell r="B300" t="str">
            <v>UBLVersionID - La versión del UBL no es correcta</v>
          </cell>
        </row>
        <row r="301">
          <cell r="A301" t="str">
            <v>2164</v>
          </cell>
          <cell r="B301" t="str">
            <v>El XML no contiene el tag o no existe informacion de UBLVersionID</v>
          </cell>
        </row>
        <row r="302">
          <cell r="A302" t="str">
            <v>2165</v>
          </cell>
          <cell r="B302" t="str">
            <v>Error al procesar la Nota de Debito</v>
          </cell>
        </row>
        <row r="303">
          <cell r="A303" t="str">
            <v>2166</v>
          </cell>
          <cell r="B303" t="str">
            <v>RegistrationName - El dato ingresado no cumple con el estandar</v>
          </cell>
        </row>
        <row r="304">
          <cell r="A304" t="str">
            <v>2167</v>
          </cell>
          <cell r="B304" t="str">
            <v>El XML no contiene el tag RegistrationName del emisor del documento</v>
          </cell>
        </row>
        <row r="305">
          <cell r="A305" t="str">
            <v>2168</v>
          </cell>
          <cell r="B305" t="str">
            <v>DocumentCurrencyCode -  El dato ingresado no cumple con el formato establecido</v>
          </cell>
        </row>
        <row r="306">
          <cell r="A306" t="str">
            <v>2169</v>
          </cell>
          <cell r="B306" t="str">
            <v>El XML no contiene el tag o no existe informacion de DocumentCurrencyCode</v>
          </cell>
        </row>
        <row r="307">
          <cell r="A307" t="str">
            <v>2170</v>
          </cell>
          <cell r="B307" t="str">
            <v>ReferenceID - El dato ingresado debe indicar SERIE-CORRELATIVO del documento al que se relaciona la Nota</v>
          </cell>
        </row>
        <row r="308">
          <cell r="A308" t="str">
            <v>2171</v>
          </cell>
          <cell r="B308" t="str">
            <v>El XML no contiene informacion en el tag ReferenceID del documento al que se relaciona la nota</v>
          </cell>
        </row>
        <row r="309">
          <cell r="A309" t="str">
            <v>2172</v>
          </cell>
          <cell r="B309" t="str">
            <v>ResponseCode - El dato ingresado no cumple con la estructura</v>
          </cell>
        </row>
        <row r="310">
          <cell r="A310" t="str">
            <v>2173</v>
          </cell>
          <cell r="B310" t="str">
            <v>El XML no contiene el tag o no existe informacion de ResponseCode</v>
          </cell>
        </row>
        <row r="311">
          <cell r="A311" t="str">
            <v>2174</v>
          </cell>
          <cell r="B311" t="str">
            <v>cac:DiscrepancyResponse/cbc:Description - El dato ingresado no cumple con la estructura</v>
          </cell>
        </row>
        <row r="312">
          <cell r="A312" t="str">
            <v>2175</v>
          </cell>
          <cell r="B312" t="str">
            <v>El XML no contiene el tag o no existe informacion de cac:DiscrepancyResponse/cbc:Description</v>
          </cell>
        </row>
        <row r="313">
          <cell r="A313" t="str">
            <v>2176</v>
          </cell>
          <cell r="B313" t="str">
            <v>AdditionalAccountID -  El dato ingresado  en el tipo de documento de identidad del receptor no cumple con el estandar</v>
          </cell>
        </row>
        <row r="314">
          <cell r="A314" t="str">
            <v>2177</v>
          </cell>
          <cell r="B314" t="str">
            <v>El XML no contiene el tag o no existe informacion de AdditionalAccountID del receptor del documento</v>
          </cell>
        </row>
        <row r="315">
          <cell r="A315" t="str">
            <v>2178</v>
          </cell>
          <cell r="B315" t="str">
            <v>CustomerAssignedAccountID - El numero de documento de identidad del receptor debe ser RUC.</v>
          </cell>
        </row>
        <row r="316">
          <cell r="A316" t="str">
            <v>2179</v>
          </cell>
          <cell r="B316" t="str">
            <v>El XML no contiene el tag o no existe informacion de CustomerAssignedAccountID del receptor del documento</v>
          </cell>
        </row>
        <row r="317">
          <cell r="A317" t="str">
            <v>2180</v>
          </cell>
          <cell r="B317" t="str">
            <v>RegistrationName - El dato ingresado no cumple con el estandar</v>
          </cell>
        </row>
        <row r="318">
          <cell r="A318" t="str">
            <v>2181</v>
          </cell>
          <cell r="B318" t="str">
            <v>El XML no contiene el tag o no existe informacion de RegistrationName del receptor del documento</v>
          </cell>
        </row>
        <row r="319">
          <cell r="A319" t="str">
            <v>2182</v>
          </cell>
          <cell r="B319" t="str">
            <v>TaxScheme ID - El dato ingresado no cumple con el estandar</v>
          </cell>
        </row>
        <row r="320">
          <cell r="A320" t="str">
            <v>2183</v>
          </cell>
          <cell r="B320" t="str">
            <v>El codigo del tributo es invalido</v>
          </cell>
        </row>
        <row r="321">
          <cell r="A321" t="str">
            <v>2184</v>
          </cell>
          <cell r="B321" t="str">
            <v>El XML no contiene el tag o no existe informacion de TaxScheme ID de impuestos globales</v>
          </cell>
        </row>
        <row r="322">
          <cell r="A322" t="str">
            <v>2185</v>
          </cell>
          <cell r="B322" t="str">
            <v>TaxScheme Name - El dato ingresado no cumple con el estandar</v>
          </cell>
        </row>
        <row r="323">
          <cell r="A323" t="str">
            <v>2186</v>
          </cell>
          <cell r="B323" t="str">
            <v>El XML no contiene el tag o no existe informacion de TaxScheme Name de impuestos globales</v>
          </cell>
        </row>
        <row r="324">
          <cell r="A324" t="str">
            <v>2187</v>
          </cell>
          <cell r="B324" t="str">
            <v>El Numero de orden del item no cumple con el formato establecido</v>
          </cell>
        </row>
        <row r="325">
          <cell r="A325" t="str">
            <v>2188</v>
          </cell>
          <cell r="B325" t="str">
            <v>DebitedQuantity/@unitCode El dato ingresado no cumple con el estandar</v>
          </cell>
        </row>
        <row r="326">
          <cell r="A326" t="str">
            <v>2189</v>
          </cell>
          <cell r="B326" t="str">
            <v>DebitedQuantity El dato ingresado no cumple con el estandar</v>
          </cell>
        </row>
        <row r="327">
          <cell r="A327" t="str">
            <v>2190</v>
          </cell>
          <cell r="B327" t="str">
            <v>El XML no contiene el tag Price/cbc:PriceAmount en el detalle de los Items</v>
          </cell>
        </row>
        <row r="328">
          <cell r="A328" t="str">
            <v>2191</v>
          </cell>
          <cell r="B328" t="str">
            <v>El XML no contiene el tag Price/cbc:LineExtensionAmount en el detalle de los Items</v>
          </cell>
        </row>
        <row r="329">
          <cell r="A329" t="str">
            <v>2192</v>
          </cell>
          <cell r="B329" t="str">
            <v>EL PriceTypeCode debe tener el valor 01</v>
          </cell>
        </row>
        <row r="330">
          <cell r="A330" t="str">
            <v>2193</v>
          </cell>
          <cell r="B330" t="str">
            <v>cac:TaxCategory/cac:TaxScheme/cbc:ID El dato ingresado no cumple con el estandar</v>
          </cell>
        </row>
        <row r="331">
          <cell r="A331" t="str">
            <v>2194</v>
          </cell>
          <cell r="B331" t="str">
            <v>El codigo del tributo es invalido</v>
          </cell>
        </row>
        <row r="332">
          <cell r="A332" t="str">
            <v>2195</v>
          </cell>
          <cell r="B332" t="str">
            <v>cac:TaxScheme/cbc:Name del item - No existe el tag o el dato ingresado no cumple con el estandar</v>
          </cell>
        </row>
        <row r="333">
          <cell r="A333" t="str">
            <v>2196</v>
          </cell>
          <cell r="B333" t="str">
            <v>cac:TaxCategory/cac:TaxScheme/cbc:TaxTypeCode El dato ingresado no cumple con el estandar</v>
          </cell>
        </row>
        <row r="334">
          <cell r="A334" t="str">
            <v>2197</v>
          </cell>
          <cell r="B334" t="str">
            <v>El tipo de afectacion del IGV es incorrecto</v>
          </cell>
        </row>
        <row r="335">
          <cell r="A335" t="str">
            <v>2198</v>
          </cell>
          <cell r="B335" t="str">
            <v>El Nombre Internacional debe ser VAT</v>
          </cell>
        </row>
        <row r="336">
          <cell r="A336" t="str">
            <v>2199</v>
          </cell>
          <cell r="B336" t="str">
            <v>El sistema de calculo del ISC es incorrecto</v>
          </cell>
        </row>
        <row r="337">
          <cell r="A337" t="str">
            <v>2200</v>
          </cell>
          <cell r="B337" t="str">
            <v>El Nombre Internacional debe ser EXC</v>
          </cell>
        </row>
        <row r="338">
          <cell r="A338" t="str">
            <v>2201</v>
          </cell>
          <cell r="B338" t="str">
            <v>El tag cac:RequestedMonetaryTotal/cbc:PayableAmount debe tener informacion valida</v>
          </cell>
        </row>
        <row r="339">
          <cell r="A339" t="str">
            <v>2202</v>
          </cell>
          <cell r="B339" t="str">
            <v>TaxAmount - El dato ingresado en impuestos globales no cumple con el estandar</v>
          </cell>
        </row>
        <row r="340">
          <cell r="A340" t="str">
            <v>2203</v>
          </cell>
          <cell r="B340" t="str">
            <v>El XML no contiene el tag TaxAmount de impuestos globales</v>
          </cell>
        </row>
        <row r="341">
          <cell r="A341" t="str">
            <v>2204</v>
          </cell>
          <cell r="B341" t="str">
            <v>El tipo de documento modificado por la Nota de Debito debe ser factura electronica, ticket o documento autorizado</v>
          </cell>
        </row>
        <row r="342">
          <cell r="A342" t="str">
            <v>2205</v>
          </cell>
          <cell r="B342" t="str">
            <v>La serie o numero del documento modificado por la Nota de Debito no cumple con el formato establecido</v>
          </cell>
        </row>
        <row r="343">
          <cell r="A343" t="str">
            <v>2206</v>
          </cell>
          <cell r="B343" t="str">
            <v>Debe indicar los documentos afectados por la Nota de Debito</v>
          </cell>
        </row>
        <row r="344">
          <cell r="A344" t="str">
            <v>2207</v>
          </cell>
          <cell r="B344" t="str">
            <v>El documento modificado en la Nota de debito se encuentra de baja</v>
          </cell>
        </row>
        <row r="345">
          <cell r="A345" t="str">
            <v>2208</v>
          </cell>
          <cell r="B345" t="str">
            <v>El documento modificado en la Nota de debito esta registrada como rechazada</v>
          </cell>
        </row>
        <row r="346">
          <cell r="A346" t="str">
            <v>2209</v>
          </cell>
          <cell r="B346" t="str">
            <v>El documento modificado en la Nota de debito no esta registrada</v>
          </cell>
        </row>
        <row r="347">
          <cell r="A347" t="str">
            <v>2210</v>
          </cell>
          <cell r="B347" t="str">
            <v>El dato ingresado no cumple con el formato RC-fecha-correlativo</v>
          </cell>
        </row>
        <row r="348">
          <cell r="A348" t="str">
            <v>2211</v>
          </cell>
          <cell r="B348" t="str">
            <v>El XML no contiene el tag ID</v>
          </cell>
        </row>
        <row r="349">
          <cell r="A349" t="str">
            <v>2212</v>
          </cell>
          <cell r="B349" t="str">
            <v>UBLVersionID - La versión del UBL del resumen de boletas no es correcta</v>
          </cell>
        </row>
        <row r="350">
          <cell r="A350" t="str">
            <v>2213</v>
          </cell>
          <cell r="B350" t="str">
            <v>El XML no contiene el tag UBLVersionID</v>
          </cell>
        </row>
        <row r="351">
          <cell r="A351" t="str">
            <v>2214</v>
          </cell>
          <cell r="B351" t="str">
            <v>CustomizationID - La versión del resumen de boletas no es correcta</v>
          </cell>
        </row>
        <row r="352">
          <cell r="A352" t="str">
            <v>2215</v>
          </cell>
          <cell r="B352" t="str">
            <v>El XML no contiene el tag CustomizationID</v>
          </cell>
        </row>
        <row r="353">
          <cell r="A353" t="str">
            <v>2216</v>
          </cell>
          <cell r="B353" t="str">
            <v>CustomerAssignedAccountID -  El dato ingresado no cumple con el estandar</v>
          </cell>
        </row>
        <row r="354">
          <cell r="A354" t="str">
            <v>2217</v>
          </cell>
          <cell r="B354" t="str">
            <v>El XML no contiene el tag CustomerAssignedAccountID del emisor del documento</v>
          </cell>
        </row>
        <row r="355">
          <cell r="A355" t="str">
            <v>2218</v>
          </cell>
          <cell r="B355" t="str">
            <v>AdditionalAccountID - El dato ingresado no cumple con el estandar</v>
          </cell>
        </row>
        <row r="356">
          <cell r="A356" t="str">
            <v>2219</v>
          </cell>
          <cell r="B356" t="str">
            <v>El XML no contiene el tag AdditionalAccountID del emisor del documento</v>
          </cell>
        </row>
        <row r="357">
          <cell r="A357" t="str">
            <v>2220</v>
          </cell>
          <cell r="B357" t="str">
            <v>El ID debe coincidir con el nombre del archivo</v>
          </cell>
        </row>
        <row r="358">
          <cell r="A358" t="str">
            <v>2221</v>
          </cell>
          <cell r="B358" t="str">
            <v>El RUC debe coincidir con el RUC del nombre del archivo</v>
          </cell>
        </row>
        <row r="359">
          <cell r="A359" t="str">
            <v>2222</v>
          </cell>
          <cell r="B359" t="str">
            <v>El contribuyente no está autorizado a emitir comprobantes electronicos</v>
          </cell>
        </row>
        <row r="360">
          <cell r="A360" t="str">
            <v>2223</v>
          </cell>
          <cell r="B360" t="str">
            <v>El archivo ya fue presentado anteriormente</v>
          </cell>
        </row>
        <row r="361">
          <cell r="A361" t="str">
            <v>2224</v>
          </cell>
          <cell r="B361" t="str">
            <v>Numero de RUC SOL no coincide con RUC emisor</v>
          </cell>
        </row>
        <row r="362">
          <cell r="A362" t="str">
            <v>2225</v>
          </cell>
          <cell r="B362" t="str">
            <v>Numero de RUC del emisor no existe</v>
          </cell>
        </row>
        <row r="363">
          <cell r="A363" t="str">
            <v>2226</v>
          </cell>
          <cell r="B363" t="str">
            <v>El contribuyente no esta activo</v>
          </cell>
        </row>
        <row r="364">
          <cell r="A364" t="str">
            <v>2227</v>
          </cell>
          <cell r="B364" t="str">
            <v>El contribuyente no cumple con tipo de empresa o tributos requeridos</v>
          </cell>
        </row>
        <row r="365">
          <cell r="A365" t="str">
            <v>2228</v>
          </cell>
          <cell r="B365" t="str">
            <v>RegistrationName - El dato ingresado no cumple con el estandar</v>
          </cell>
        </row>
        <row r="366">
          <cell r="A366" t="str">
            <v>2229</v>
          </cell>
          <cell r="B366" t="str">
            <v>El XML no contiene el tag RegistrationName del emisor del documento</v>
          </cell>
        </row>
        <row r="367">
          <cell r="A367" t="str">
            <v>2230</v>
          </cell>
          <cell r="B367" t="str">
            <v>IssueDate - El dato ingresado no cumple con el patron YYYY-MM-DD</v>
          </cell>
        </row>
        <row r="368">
          <cell r="A368" t="str">
            <v>2231</v>
          </cell>
          <cell r="B368" t="str">
            <v>El XML no contiene el tag IssueDate</v>
          </cell>
        </row>
        <row r="369">
          <cell r="A369" t="str">
            <v>2232</v>
          </cell>
          <cell r="B369" t="str">
            <v>IssueDate- El dato ingresado no es valido</v>
          </cell>
        </row>
        <row r="370">
          <cell r="A370" t="str">
            <v>2233</v>
          </cell>
          <cell r="B370" t="str">
            <v>ReferenceDate - El dato ingresado no cumple con el patron YYYY-MM-DD</v>
          </cell>
        </row>
        <row r="371">
          <cell r="A371" t="str">
            <v>2234</v>
          </cell>
          <cell r="B371" t="str">
            <v>El XML no contiene el tag ReferenceDate</v>
          </cell>
        </row>
        <row r="372">
          <cell r="A372" t="str">
            <v>2235</v>
          </cell>
          <cell r="B372" t="str">
            <v>ReferenceDate- El dato ingresado no es valido</v>
          </cell>
        </row>
        <row r="373">
          <cell r="A373" t="str">
            <v>2236</v>
          </cell>
          <cell r="B373" t="str">
            <v>La fecha del IssueDate no debe ser mayor a la fecha de recepción</v>
          </cell>
        </row>
        <row r="374">
          <cell r="A374" t="str">
            <v>2237</v>
          </cell>
          <cell r="B374" t="str">
            <v>La fecha del ReferenceDate no debe ser mayor al Today</v>
          </cell>
        </row>
        <row r="375">
          <cell r="A375" t="str">
            <v>2238</v>
          </cell>
          <cell r="B375" t="str">
            <v>LineID - El dato ingresado no cumple con el estandar</v>
          </cell>
        </row>
        <row r="376">
          <cell r="A376" t="str">
            <v>2239</v>
          </cell>
          <cell r="B376" t="str">
            <v>LineID - El dato ingresado debe ser correlativo mayor a cero</v>
          </cell>
        </row>
        <row r="377">
          <cell r="A377" t="str">
            <v>2240</v>
          </cell>
          <cell r="B377" t="str">
            <v>El XML no contiene el tag LineID de SummaryDocumentsLine</v>
          </cell>
        </row>
        <row r="378">
          <cell r="A378" t="str">
            <v>2241</v>
          </cell>
          <cell r="B378" t="str">
            <v>DocumentTypeCode - El valor del tipo de documento es invalido</v>
          </cell>
        </row>
        <row r="379">
          <cell r="A379" t="str">
            <v>2242</v>
          </cell>
          <cell r="B379" t="str">
            <v>El XML no contiene el tag DocumentTypeCode</v>
          </cell>
        </row>
        <row r="380">
          <cell r="A380" t="str">
            <v>2243</v>
          </cell>
          <cell r="B380" t="str">
            <v>El dato ingresado  no cumple con el patron SERIE</v>
          </cell>
        </row>
        <row r="381">
          <cell r="A381" t="str">
            <v>2244</v>
          </cell>
          <cell r="B381" t="str">
            <v>El XML no contiene el tag DocumentSerialID</v>
          </cell>
        </row>
        <row r="382">
          <cell r="A382" t="str">
            <v>2245</v>
          </cell>
          <cell r="B382" t="str">
            <v>El dato ingresado en StartDocumentNumberID debe ser numerico</v>
          </cell>
        </row>
        <row r="383">
          <cell r="A383" t="str">
            <v>2246</v>
          </cell>
          <cell r="B383" t="str">
            <v>El XML no contiene el tag StartDocumentNumberID</v>
          </cell>
        </row>
        <row r="384">
          <cell r="A384" t="str">
            <v>2247</v>
          </cell>
          <cell r="B384" t="str">
            <v>El dato ingresado en sac:EndDocumentNumberID debe ser numerico</v>
          </cell>
        </row>
        <row r="385">
          <cell r="A385" t="str">
            <v>2248</v>
          </cell>
          <cell r="B385" t="str">
            <v>El XML no contiene el tag sac:EndDocumentNumberID</v>
          </cell>
        </row>
        <row r="386">
          <cell r="A386" t="str">
            <v>2249</v>
          </cell>
          <cell r="B386" t="str">
            <v>Los rangos deben ser mayores a cero</v>
          </cell>
        </row>
        <row r="387">
          <cell r="A387" t="str">
            <v>2250</v>
          </cell>
          <cell r="B387" t="str">
            <v>En el rango de comprobantes, el EndDocumentNumberID debe ser mayor o igual al StartInvoiceNumberID</v>
          </cell>
        </row>
        <row r="388">
          <cell r="A388" t="str">
            <v>2251</v>
          </cell>
          <cell r="B388" t="str">
            <v>El dato ingresado en TotalAmount debe ser numerico mayor o igual a cero</v>
          </cell>
        </row>
        <row r="389">
          <cell r="A389" t="str">
            <v>2252</v>
          </cell>
          <cell r="B389" t="str">
            <v>El XML no contiene el tag TotalAmount</v>
          </cell>
        </row>
        <row r="390">
          <cell r="A390" t="str">
            <v>2253</v>
          </cell>
          <cell r="B390" t="str">
            <v>El dato ingresado en TotalAmount debe ser numerico mayor a cero</v>
          </cell>
        </row>
        <row r="391">
          <cell r="A391" t="str">
            <v>2254</v>
          </cell>
          <cell r="B391" t="str">
            <v>PaidAmount - El dato ingresado no cumple con el estandar</v>
          </cell>
        </row>
        <row r="392">
          <cell r="A392" t="str">
            <v>2255</v>
          </cell>
          <cell r="B392" t="str">
            <v>El XML no contiene el tag PaidAmount</v>
          </cell>
        </row>
        <row r="393">
          <cell r="A393" t="str">
            <v>2256</v>
          </cell>
          <cell r="B393" t="str">
            <v>InstructionID - El dato ingresado no cumple con el estandar</v>
          </cell>
        </row>
        <row r="394">
          <cell r="A394" t="str">
            <v>2257</v>
          </cell>
          <cell r="B394" t="str">
            <v>El XML no contiene el tag InstructionID</v>
          </cell>
        </row>
        <row r="395">
          <cell r="A395" t="str">
            <v>2258</v>
          </cell>
          <cell r="B395" t="str">
            <v>Debe indicar Referencia de Importes asociados a las boletas de venta</v>
          </cell>
        </row>
        <row r="396">
          <cell r="A396" t="str">
            <v>2259</v>
          </cell>
          <cell r="B396" t="str">
            <v>Debe indicar 3 Referencias de Importes asociados a las boletas de venta</v>
          </cell>
        </row>
        <row r="397">
          <cell r="A397" t="str">
            <v>2260</v>
          </cell>
          <cell r="B397" t="str">
            <v>PaidAmount - El dato ingresado debe ser mayor o igual a 0.00</v>
          </cell>
        </row>
        <row r="398">
          <cell r="A398" t="str">
            <v>2261</v>
          </cell>
          <cell r="B398" t="str">
            <v>cbc:Amount - El dato ingresado no cumple con el estandar</v>
          </cell>
        </row>
        <row r="399">
          <cell r="A399" t="str">
            <v>2262</v>
          </cell>
          <cell r="B399" t="str">
            <v>El XML no contiene el tag cbc:Amount</v>
          </cell>
        </row>
        <row r="400">
          <cell r="A400" t="str">
            <v>2263</v>
          </cell>
          <cell r="B400" t="str">
            <v>ChargeIndicator - El dato ingresado no cumple con el estandar</v>
          </cell>
        </row>
        <row r="401">
          <cell r="A401" t="str">
            <v>2264</v>
          </cell>
          <cell r="B401" t="str">
            <v>El XML no contiene el tag ChargeIndicator</v>
          </cell>
        </row>
        <row r="402">
          <cell r="A402" t="str">
            <v>2265</v>
          </cell>
          <cell r="B402" t="str">
            <v>Debe indicar Información acerca del Importe Total de Otros Cargos</v>
          </cell>
        </row>
        <row r="403">
          <cell r="A403" t="str">
            <v>2266</v>
          </cell>
          <cell r="B403" t="str">
            <v>Debe indicar cargos mayores o iguales a cero</v>
          </cell>
        </row>
        <row r="404">
          <cell r="A404" t="str">
            <v>2267</v>
          </cell>
          <cell r="B404" t="str">
            <v>TaxScheme ID - El dato ingresado no cumple con el estandar</v>
          </cell>
        </row>
        <row r="405">
          <cell r="A405" t="str">
            <v>2268</v>
          </cell>
          <cell r="B405" t="str">
            <v>El codigo del tributo es invalido</v>
          </cell>
        </row>
        <row r="406">
          <cell r="A406" t="str">
            <v>2269</v>
          </cell>
          <cell r="B406" t="str">
            <v>El XML no contiene el tag TaxScheme ID de Información acerca del importe total de un tipo particular de impuesto</v>
          </cell>
        </row>
        <row r="407">
          <cell r="A407" t="str">
            <v>2270</v>
          </cell>
          <cell r="B407" t="str">
            <v>TaxScheme Name - El dato ingresado no cumple con el estandar</v>
          </cell>
        </row>
        <row r="408">
          <cell r="A408" t="str">
            <v>2271</v>
          </cell>
          <cell r="B408" t="str">
            <v>El XML no contiene el tag TaxScheme Name de impuesto</v>
          </cell>
        </row>
        <row r="409">
          <cell r="A409" t="str">
            <v>2272</v>
          </cell>
          <cell r="B409" t="str">
            <v>TaxScheme TaxTypeCode - El dato ingresado no cumple con el estandar</v>
          </cell>
        </row>
        <row r="410">
          <cell r="A410" t="str">
            <v>2273</v>
          </cell>
          <cell r="B410" t="str">
            <v>TaxAmount - El dato ingresado no cumple con el estandar</v>
          </cell>
        </row>
        <row r="411">
          <cell r="A411" t="str">
            <v>2274</v>
          </cell>
          <cell r="B411" t="str">
            <v>El XML no contiene el tag TaxAmount</v>
          </cell>
        </row>
        <row r="412">
          <cell r="A412" t="str">
            <v>2275</v>
          </cell>
          <cell r="B412" t="str">
            <v>Si el codigo de tributo es 2000, el nombre del tributo debe ser ISC</v>
          </cell>
        </row>
        <row r="413">
          <cell r="A413" t="str">
            <v>2276</v>
          </cell>
          <cell r="B413" t="str">
            <v>Si el codigo de tributo es 1000, el nombre del tributo debe ser IGV</v>
          </cell>
        </row>
        <row r="414">
          <cell r="A414" t="str">
            <v>2277</v>
          </cell>
          <cell r="B414" t="str">
            <v>No se ha consignado ninguna informacion del importe total de tributos</v>
          </cell>
        </row>
        <row r="415">
          <cell r="A415" t="str">
            <v>2278</v>
          </cell>
          <cell r="B415" t="str">
            <v>Debe indicar Información acerca del importe total de IGV/IVAP</v>
          </cell>
        </row>
        <row r="416">
          <cell r="A416" t="str">
            <v>2279</v>
          </cell>
          <cell r="B416" t="str">
            <v>Debe indicar Items de consolidado de documentos</v>
          </cell>
        </row>
        <row r="417">
          <cell r="A417" t="str">
            <v>2280</v>
          </cell>
          <cell r="B417" t="str">
            <v>Existen problemas con la informacion del resumen de comprobantes</v>
          </cell>
        </row>
        <row r="418">
          <cell r="A418" t="str">
            <v>2281</v>
          </cell>
          <cell r="B418" t="str">
            <v>Error en la validacion de los rangos de los comprobantes</v>
          </cell>
        </row>
        <row r="419">
          <cell r="A419" t="str">
            <v>2282</v>
          </cell>
          <cell r="B419" t="str">
            <v>Existe documento ya informado anteriormente</v>
          </cell>
        </row>
        <row r="420">
          <cell r="A420" t="str">
            <v>2283</v>
          </cell>
          <cell r="B420" t="str">
            <v>El dato ingresado no cumple con el formato RA-fecha-correlativo</v>
          </cell>
        </row>
        <row r="421">
          <cell r="A421" t="str">
            <v>2284</v>
          </cell>
          <cell r="B421" t="str">
            <v>El tag ID esta vacío</v>
          </cell>
        </row>
        <row r="422">
          <cell r="A422" t="str">
            <v>2285</v>
          </cell>
          <cell r="B422" t="str">
            <v>El ID debe coincidir  con el nombre del archivo</v>
          </cell>
        </row>
        <row r="423">
          <cell r="A423" t="str">
            <v>2286</v>
          </cell>
          <cell r="B423" t="str">
            <v>El RUC debe coincidir con el RUC del nombre del archivo</v>
          </cell>
        </row>
        <row r="424">
          <cell r="A424" t="str">
            <v>2287</v>
          </cell>
          <cell r="B424" t="str">
            <v>AdditionalAccountID - El dato ingresado no cumple con el estandar</v>
          </cell>
        </row>
        <row r="425">
          <cell r="A425" t="str">
            <v>2288</v>
          </cell>
          <cell r="B425" t="str">
            <v>El XML no contiene el tag AdditionalAccountID del emisor del documento</v>
          </cell>
        </row>
        <row r="426">
          <cell r="A426" t="str">
            <v>2289</v>
          </cell>
          <cell r="B426" t="str">
            <v>CustomerAssignedAccountID - El dato ingresado no cumple con el estandar</v>
          </cell>
        </row>
        <row r="427">
          <cell r="A427" t="str">
            <v>2290</v>
          </cell>
          <cell r="B427" t="str">
            <v>El XML no contiene el tag CustomerAssignedAccountID del emisor del documento</v>
          </cell>
        </row>
        <row r="428">
          <cell r="A428" t="str">
            <v>2291</v>
          </cell>
          <cell r="B428" t="str">
            <v>El contribuyente no esta autorizado a emitir comprobantes electronicos</v>
          </cell>
        </row>
        <row r="429">
          <cell r="A429" t="str">
            <v>2292</v>
          </cell>
          <cell r="B429" t="str">
            <v>Numero de RUC SOL no coincide con RUC emisor</v>
          </cell>
        </row>
        <row r="430">
          <cell r="A430" t="str">
            <v>2293</v>
          </cell>
          <cell r="B430" t="str">
            <v>Numero de RUC del emisor no existe</v>
          </cell>
        </row>
        <row r="431">
          <cell r="A431" t="str">
            <v>2294</v>
          </cell>
          <cell r="B431" t="str">
            <v>El contribuyente no esta activo</v>
          </cell>
        </row>
        <row r="432">
          <cell r="A432" t="str">
            <v>2295</v>
          </cell>
          <cell r="B432" t="str">
            <v>El contribuyente no cumple con tipo de empresa o tributos requeridos</v>
          </cell>
        </row>
        <row r="433">
          <cell r="A433" t="str">
            <v>2296</v>
          </cell>
          <cell r="B433" t="str">
            <v>RegistrationName - El dato ingresado no cumple con el estandar</v>
          </cell>
        </row>
        <row r="434">
          <cell r="A434" t="str">
            <v>2297</v>
          </cell>
          <cell r="B434" t="str">
            <v>El XML no contiene el tag RegistrationName del emisor del documento</v>
          </cell>
        </row>
        <row r="435">
          <cell r="A435" t="str">
            <v>2298</v>
          </cell>
          <cell r="B435" t="str">
            <v>IssueDate - El dato ingresado no cumple con el patron YYYY-MM-DD</v>
          </cell>
        </row>
        <row r="436">
          <cell r="A436" t="str">
            <v>2299</v>
          </cell>
          <cell r="B436" t="str">
            <v>El XML no contiene el tag IssueDate</v>
          </cell>
        </row>
        <row r="437">
          <cell r="A437" t="str">
            <v>2300</v>
          </cell>
          <cell r="B437" t="str">
            <v>IssueDate - El dato ingresado no es valido</v>
          </cell>
        </row>
        <row r="438">
          <cell r="A438" t="str">
            <v>2301</v>
          </cell>
          <cell r="B438" t="str">
            <v>La fecha del IssueDate no debe ser mayor a la fecha de recepción</v>
          </cell>
        </row>
        <row r="439">
          <cell r="A439" t="str">
            <v>2302</v>
          </cell>
          <cell r="B439" t="str">
            <v>ReferenceDate - El dato ingresado no cumple con el patron YYYY-MM-DD</v>
          </cell>
        </row>
        <row r="440">
          <cell r="A440" t="str">
            <v>2303</v>
          </cell>
          <cell r="B440" t="str">
            <v>El XML no contiene el tag ReferenceDate</v>
          </cell>
        </row>
        <row r="441">
          <cell r="A441" t="str">
            <v>2304</v>
          </cell>
          <cell r="B441" t="str">
            <v>ReferenceDate - El dato ingresado no es valido</v>
          </cell>
        </row>
        <row r="442">
          <cell r="A442" t="str">
            <v>2305</v>
          </cell>
          <cell r="B442" t="str">
            <v>LineID - El dato ingresado no cumple con el estandar</v>
          </cell>
        </row>
        <row r="443">
          <cell r="A443" t="str">
            <v>2306</v>
          </cell>
          <cell r="B443" t="str">
            <v>LineID - El dato ingresado debe ser correlativo mayor a cero</v>
          </cell>
        </row>
        <row r="444">
          <cell r="A444" t="str">
            <v>2307</v>
          </cell>
          <cell r="B444" t="str">
            <v>El tag LineID de VoidedDocumentsLine esta vacío</v>
          </cell>
        </row>
        <row r="445">
          <cell r="A445" t="str">
            <v>2308</v>
          </cell>
          <cell r="B445" t="str">
            <v>DocumentTypeCode - El valor del tipo de documento es invalido</v>
          </cell>
        </row>
        <row r="446">
          <cell r="A446" t="str">
            <v>2309</v>
          </cell>
          <cell r="B446" t="str">
            <v>El tag DocumentTypeCode es vacío</v>
          </cell>
        </row>
        <row r="447">
          <cell r="A447" t="str">
            <v>2310</v>
          </cell>
          <cell r="B447" t="str">
            <v>El dato ingresado  no cumple con el patron SERIE</v>
          </cell>
        </row>
        <row r="448">
          <cell r="A448" t="str">
            <v>2311</v>
          </cell>
          <cell r="B448" t="str">
            <v>El tag DocumentSerialID es vacío</v>
          </cell>
        </row>
        <row r="449">
          <cell r="A449" t="str">
            <v>2312</v>
          </cell>
          <cell r="B449" t="str">
            <v>El dato ingresado en DocumentNumberID debe ser numerico y como maximo de 8 digitos</v>
          </cell>
        </row>
        <row r="450">
          <cell r="A450" t="str">
            <v>2313</v>
          </cell>
          <cell r="B450" t="str">
            <v>El tag DocumentNumberID esta vacío</v>
          </cell>
        </row>
        <row r="451">
          <cell r="A451" t="str">
            <v>2314</v>
          </cell>
          <cell r="B451" t="str">
            <v>El dato ingresado en VoidReasonDescription debe contener información válida</v>
          </cell>
        </row>
        <row r="452">
          <cell r="A452" t="str">
            <v>2315</v>
          </cell>
          <cell r="B452" t="str">
            <v>El tag VoidReasonDescription esta vacío</v>
          </cell>
        </row>
        <row r="453">
          <cell r="A453" t="str">
            <v>2316</v>
          </cell>
          <cell r="B453" t="str">
            <v>Debe indicar Items en VoidedDocumentsLine</v>
          </cell>
        </row>
        <row r="454">
          <cell r="A454" t="str">
            <v>2317</v>
          </cell>
          <cell r="B454" t="str">
            <v>Error al procesar el resumen de anulados</v>
          </cell>
        </row>
        <row r="455">
          <cell r="A455" t="str">
            <v>2318</v>
          </cell>
          <cell r="B455" t="str">
            <v>CustomizationID - La version del documento no es correcta</v>
          </cell>
        </row>
        <row r="456">
          <cell r="A456" t="str">
            <v>2319</v>
          </cell>
          <cell r="B456" t="str">
            <v>El XML no contiene el tag CustomizationID</v>
          </cell>
        </row>
        <row r="457">
          <cell r="A457" t="str">
            <v>2320</v>
          </cell>
          <cell r="B457" t="str">
            <v>UBLVersionID - La version del UBL  no es la correcta</v>
          </cell>
        </row>
        <row r="458">
          <cell r="A458" t="str">
            <v>2321</v>
          </cell>
          <cell r="B458" t="str">
            <v>El XML no contiene el tag UBLVersionID</v>
          </cell>
        </row>
        <row r="459">
          <cell r="A459" t="str">
            <v>2322</v>
          </cell>
          <cell r="B459" t="str">
            <v>Error en la validacion de los rangos</v>
          </cell>
        </row>
        <row r="460">
          <cell r="A460" t="str">
            <v>2323</v>
          </cell>
          <cell r="B460" t="str">
            <v>Existe documento ya informado anteriormente en una comunicacion de baja</v>
          </cell>
        </row>
        <row r="461">
          <cell r="A461" t="str">
            <v>2324</v>
          </cell>
          <cell r="B461" t="str">
            <v>El archivo de comunicacion de baja ya fue presentado anteriormente</v>
          </cell>
        </row>
        <row r="462">
          <cell r="A462" t="str">
            <v>2325</v>
          </cell>
          <cell r="B462" t="str">
            <v>El certificado usado no es el comunicado a SUNAT</v>
          </cell>
        </row>
        <row r="463">
          <cell r="A463" t="str">
            <v>2326</v>
          </cell>
          <cell r="B463" t="str">
            <v>El certificado usado se encuentra de baja</v>
          </cell>
        </row>
        <row r="464">
          <cell r="A464" t="str">
            <v>2327</v>
          </cell>
          <cell r="B464" t="str">
            <v>El certificado usado no se encuentra vigente</v>
          </cell>
        </row>
        <row r="465">
          <cell r="A465" t="str">
            <v>2328</v>
          </cell>
          <cell r="B465" t="str">
            <v>El certificado usado se encuentra revocado</v>
          </cell>
        </row>
        <row r="466">
          <cell r="A466" t="str">
            <v>2329</v>
          </cell>
          <cell r="B466" t="str">
            <v>La fecha de emision se encuentra fuera del limite permitido</v>
          </cell>
        </row>
        <row r="467">
          <cell r="A467" t="str">
            <v>2330</v>
          </cell>
          <cell r="B467" t="str">
            <v>La fecha de generación de la comunicación debe ser igual a la fecha consignada en el nombre del archivo</v>
          </cell>
        </row>
        <row r="468">
          <cell r="A468" t="str">
            <v>2331</v>
          </cell>
          <cell r="B468" t="str">
            <v>Número de RUC del nombre del archivo no coincide con el consignado en el contenido del archivo XML</v>
          </cell>
        </row>
        <row r="469">
          <cell r="A469" t="str">
            <v>2332</v>
          </cell>
          <cell r="B469" t="str">
            <v>Número de Serie del nombre del archivo no coincide con el consignado en el contenido del archivo XML</v>
          </cell>
        </row>
        <row r="470">
          <cell r="A470" t="str">
            <v>2333</v>
          </cell>
          <cell r="B470" t="str">
            <v>Número de documento en el nombre del archivo no coincide con el consignado en el contenido del XML</v>
          </cell>
        </row>
        <row r="471">
          <cell r="A471" t="str">
            <v>2334</v>
          </cell>
          <cell r="B471" t="str">
            <v>El documento electrónico ingresado ha sido alterado</v>
          </cell>
        </row>
        <row r="472">
          <cell r="A472" t="str">
            <v>2335</v>
          </cell>
          <cell r="B472" t="str">
            <v>El documento electrónico ingresado ha sido alterado</v>
          </cell>
        </row>
        <row r="473">
          <cell r="A473" t="str">
            <v>2336</v>
          </cell>
          <cell r="B473" t="str">
            <v>Ocurrió un error en el proceso de validación de la firma digital</v>
          </cell>
        </row>
        <row r="474">
          <cell r="A474" t="str">
            <v>2337</v>
          </cell>
          <cell r="B474" t="str">
            <v>La moneda debe ser la misma en todo el documento</v>
          </cell>
        </row>
        <row r="475">
          <cell r="A475" t="str">
            <v>2338</v>
          </cell>
          <cell r="B475" t="str">
            <v>La moneda debe ser la misma en todo el documento</v>
          </cell>
        </row>
        <row r="476">
          <cell r="A476" t="str">
            <v>2339</v>
          </cell>
          <cell r="B476" t="str">
            <v>El dato ingresado en PayableAmount no cumple con el formato establecido</v>
          </cell>
        </row>
        <row r="477">
          <cell r="A477" t="str">
            <v>2340</v>
          </cell>
          <cell r="B477" t="str">
            <v>El valor ingresado en AdditionalMonetaryTotal/cbc:ID es incorrecto</v>
          </cell>
        </row>
        <row r="478">
          <cell r="A478" t="str">
            <v>2341</v>
          </cell>
          <cell r="B478" t="str">
            <v>AdditionalMonetaryTotal/cbc:ID debe tener valor</v>
          </cell>
        </row>
        <row r="479">
          <cell r="A479" t="str">
            <v>2342</v>
          </cell>
          <cell r="B479" t="str">
            <v>Fecha de emision de la factura no coincide con la informada en la comunicacion</v>
          </cell>
        </row>
        <row r="480">
          <cell r="A480" t="str">
            <v>2343</v>
          </cell>
          <cell r="B480" t="str">
            <v>cac:TaxTotal/cac:TaxSubtotal/cbc:TaxAmount - El dato ingresado no cumple con el estandar</v>
          </cell>
        </row>
        <row r="481">
          <cell r="A481" t="str">
            <v>2344</v>
          </cell>
          <cell r="B481" t="str">
            <v>El XML no contiene el tag cac:TaxTotal/cac:TaxSubtotal/cbc:TaxAmount</v>
          </cell>
        </row>
        <row r="482">
          <cell r="A482" t="str">
            <v>2345</v>
          </cell>
          <cell r="B482" t="str">
            <v>La serie no corresponde al tipo de comprobante</v>
          </cell>
        </row>
        <row r="483">
          <cell r="A483" t="str">
            <v>2346</v>
          </cell>
          <cell r="B483" t="str">
            <v>La fecha de generación del resumen debe ser igual a la fecha consignada en el nombre del archivo</v>
          </cell>
        </row>
        <row r="484">
          <cell r="A484" t="str">
            <v>2347</v>
          </cell>
          <cell r="B484" t="str">
            <v>Los rangos informados en el archivo XML se encuentran duplicados o superpuestos</v>
          </cell>
        </row>
        <row r="485">
          <cell r="A485" t="str">
            <v>2348</v>
          </cell>
          <cell r="B485" t="str">
            <v>Los documentos informados en el archivo XML se encuentran duplicados</v>
          </cell>
        </row>
        <row r="486">
          <cell r="A486" t="str">
            <v>2349</v>
          </cell>
          <cell r="B486" t="str">
            <v>Debe consignar solo un elemento sac:AdditionalMonetaryTotal con cbc:ID igual a 1001</v>
          </cell>
        </row>
        <row r="487">
          <cell r="A487" t="str">
            <v>2350</v>
          </cell>
          <cell r="B487" t="str">
            <v>Debe consignar solo un elemento sac:AdditionalMonetaryTotal con cbc:ID igual a 1002</v>
          </cell>
        </row>
        <row r="488">
          <cell r="A488" t="str">
            <v>2351</v>
          </cell>
          <cell r="B488" t="str">
            <v>Debe consignar solo un elemento sac:AdditionalMonetaryTotal con cbc:ID igual a 1003</v>
          </cell>
        </row>
        <row r="489">
          <cell r="A489" t="str">
            <v>2352</v>
          </cell>
          <cell r="B489" t="str">
            <v>Debe consignar solo un elemento cac:TaxTotal a nivel global para IGV (cbc:ID igual a 1000)</v>
          </cell>
        </row>
        <row r="490">
          <cell r="A490" t="str">
            <v>2353</v>
          </cell>
          <cell r="B490" t="str">
            <v>Debe consignar solo un elemento cac:TaxTotal a nivel global para ISC (cbc:ID igual a 2000)</v>
          </cell>
        </row>
        <row r="491">
          <cell r="A491" t="str">
            <v>2354</v>
          </cell>
          <cell r="B491" t="str">
            <v>Debe consignar solo un elemento cac:TaxTotal a nivel global para Otros (cbc:ID igual a 9999)</v>
          </cell>
        </row>
        <row r="492">
          <cell r="A492" t="str">
            <v>2355</v>
          </cell>
          <cell r="B492" t="str">
            <v>Debe consignar solo un elemento cac:TaxTotal a nivel de item por codigo de tributo</v>
          </cell>
        </row>
        <row r="493">
          <cell r="A493" t="str">
            <v>2356</v>
          </cell>
          <cell r="B493" t="str">
            <v>Debe consignar solo un elemento cac:TaxTotal a nivel de item para ISC (cbc:ID igual a 2000)</v>
          </cell>
        </row>
        <row r="494">
          <cell r="A494" t="str">
            <v>2357</v>
          </cell>
          <cell r="B494" t="str">
            <v>No debe existir un elemento sac:BillingPayment a nivel de item con el mismo valor de cbc:InstructionID</v>
          </cell>
        </row>
        <row r="495">
          <cell r="A495" t="str">
            <v>2358</v>
          </cell>
          <cell r="B495" t="str">
            <v>Debe consignar solo un elemento sac:BillingPayment a nivel de item con cbc:InstructionID igual a 02</v>
          </cell>
        </row>
        <row r="496">
          <cell r="A496" t="str">
            <v>2359</v>
          </cell>
          <cell r="B496" t="str">
            <v>Debe consignar solo un elemento sac:BillingPayment a nivel de item con cbc:InstructionID igual a 03</v>
          </cell>
        </row>
        <row r="497">
          <cell r="A497" t="str">
            <v>2360</v>
          </cell>
          <cell r="B497" t="str">
            <v>Debe consignar solo un elemento sac:BillingPayment a nivel de item con cbc:InstructionID igual a 04</v>
          </cell>
        </row>
        <row r="498">
          <cell r="A498" t="str">
            <v>2361</v>
          </cell>
          <cell r="B498" t="str">
            <v>Debe consignar solo un elemento cac:TaxTotal a nivel de item para Otros (cbc:ID igual a 9999)</v>
          </cell>
        </row>
        <row r="499">
          <cell r="A499" t="str">
            <v>2362</v>
          </cell>
          <cell r="B499" t="str">
            <v>Debe consignar solo un tag cac:AccountingSupplierParty/cbc:AdditionalAccountID</v>
          </cell>
        </row>
        <row r="500">
          <cell r="A500" t="str">
            <v>2363</v>
          </cell>
          <cell r="B500" t="str">
            <v>Debe consignar solo un tag cac:AccountingCustomerParty/cbc:AdditionalAccountID</v>
          </cell>
        </row>
        <row r="501">
          <cell r="A501" t="str">
            <v>2364</v>
          </cell>
          <cell r="B501" t="str">
            <v>El comprobante contiene un tipo y número de Guía de Remisión repetido</v>
          </cell>
        </row>
        <row r="502">
          <cell r="A502" t="str">
            <v>2365</v>
          </cell>
          <cell r="B502" t="str">
            <v>El comprobante contiene un tipo y número de Documento Relacionado repetido</v>
          </cell>
        </row>
        <row r="503">
          <cell r="A503" t="str">
            <v>2366</v>
          </cell>
          <cell r="B503" t="str">
            <v>El codigo en el tag sac:AdditionalProperty/cbc:ID debe tener 4 posiciones</v>
          </cell>
        </row>
        <row r="504">
          <cell r="A504" t="str">
            <v>2367</v>
          </cell>
          <cell r="B504" t="str">
            <v>El dato ingresado en PriceAmount del Precio de venta unitario por item no cumple con el formato establecido</v>
          </cell>
        </row>
        <row r="505">
          <cell r="A505" t="str">
            <v>2368</v>
          </cell>
          <cell r="B505" t="str">
            <v>El dato ingresado en TaxSubtotal/cbc:TaxAmount del item no cumple con el formato establecido</v>
          </cell>
        </row>
        <row r="506">
          <cell r="A506" t="str">
            <v>2369</v>
          </cell>
          <cell r="B506" t="str">
            <v>El dato ingresado en PriceAmount del Valor de venta unitario por item no cumple con el formato establecido</v>
          </cell>
        </row>
        <row r="507">
          <cell r="A507" t="str">
            <v>2370</v>
          </cell>
          <cell r="B507" t="str">
            <v>El dato ingresado en LineExtensionAmount del item no cumple con el formato establecido</v>
          </cell>
        </row>
        <row r="508">
          <cell r="A508" t="str">
            <v>2371</v>
          </cell>
          <cell r="B508" t="str">
            <v>El XML no contiene el tag cbc:TaxExemptionReasonCode de Afectacion al IGV</v>
          </cell>
        </row>
        <row r="509">
          <cell r="A509" t="str">
            <v>2372</v>
          </cell>
          <cell r="B509" t="str">
            <v>El tag en el item cac:TaxTotal/cbc:TaxAmount debe tener el mismo valor que cac:TaxTotal/cac:TaxSubtotal/cbc:TaxAmount</v>
          </cell>
        </row>
        <row r="510">
          <cell r="A510" t="str">
            <v>2373</v>
          </cell>
          <cell r="B510" t="str">
            <v>Si existe monto de ISC en el ITEM debe especificar el sistema de calculo</v>
          </cell>
        </row>
        <row r="511">
          <cell r="A511" t="str">
            <v>2374</v>
          </cell>
          <cell r="B511" t="str">
            <v>La factura a dar de baja tiene una fecha de recepcion fuera del plazo permitido</v>
          </cell>
        </row>
        <row r="512">
          <cell r="A512" t="str">
            <v>2375</v>
          </cell>
          <cell r="B512" t="str">
            <v>Fecha de emision del comprobante no coincide con la fecha de emision consignada en la comunicación</v>
          </cell>
        </row>
        <row r="513">
          <cell r="A513" t="str">
            <v>2376</v>
          </cell>
          <cell r="B513" t="str">
            <v>La boleta de venta a dar de baja fue informada en un resumen con fecha de recepcion fuera del plazo permitido</v>
          </cell>
        </row>
        <row r="514">
          <cell r="A514" t="str">
            <v>2377</v>
          </cell>
          <cell r="B514" t="str">
            <v>El Name o TaxTypeCode debe corresponder al codigo de tributo del item</v>
          </cell>
        </row>
        <row r="515">
          <cell r="A515" t="str">
            <v>2378</v>
          </cell>
          <cell r="B515" t="str">
            <v>El Name o TaxTypeCode debe corresponder con el Id para el ISC</v>
          </cell>
        </row>
        <row r="516">
          <cell r="A516" t="str">
            <v>2379</v>
          </cell>
          <cell r="B516" t="str">
            <v>La numeracion de boleta de venta a dar de baja fue generada en una fecha fuera del plazo permitido</v>
          </cell>
        </row>
        <row r="517">
          <cell r="A517" t="str">
            <v>2380</v>
          </cell>
          <cell r="B517" t="str">
            <v>El documento tiene observaciones</v>
          </cell>
        </row>
        <row r="518">
          <cell r="A518" t="str">
            <v>2381</v>
          </cell>
          <cell r="B518" t="str">
            <v>Comprobante no cumple con el Grupo 1: No todos los items corresponden a operaciones gravadas a IGV</v>
          </cell>
        </row>
        <row r="519">
          <cell r="A519" t="str">
            <v>2382</v>
          </cell>
          <cell r="B519" t="str">
            <v>Comprobante no cumple con el Grupo 2: No todos los items corresponden a operaciones inafectas o exoneradas al IGV</v>
          </cell>
        </row>
        <row r="520">
          <cell r="A520" t="str">
            <v>2383</v>
          </cell>
          <cell r="B520" t="str">
            <v>Comprobante no cumple con el Grupo 3: Falta leyenda con codigo 1002</v>
          </cell>
        </row>
        <row r="521">
          <cell r="A521" t="str">
            <v>2384</v>
          </cell>
          <cell r="B521" t="str">
            <v>Comprobante no cumple con el Grupo 3: Existe item con operación onerosa</v>
          </cell>
        </row>
        <row r="522">
          <cell r="A522" t="str">
            <v>2385</v>
          </cell>
          <cell r="B522" t="str">
            <v>Comprobante no cumple con el Grupo 4: Debe exitir Total descuentos mayor a cero</v>
          </cell>
        </row>
        <row r="523">
          <cell r="A523" t="str">
            <v>2386</v>
          </cell>
          <cell r="B523" t="str">
            <v>Comprobante no cumple con el Grupo 5: Todos los items deben tener operaciones afectas a ISC</v>
          </cell>
        </row>
        <row r="524">
          <cell r="A524" t="str">
            <v>2387</v>
          </cell>
          <cell r="B524" t="str">
            <v>Comprobante no cumple con el Grupo 6: El monto de percepcion no existe o es cero</v>
          </cell>
        </row>
        <row r="525">
          <cell r="A525" t="str">
            <v>2388</v>
          </cell>
          <cell r="B525" t="str">
            <v>Comprobante no cumple con el Grupo 6: Todos los items deben tener código de Afectación al IGV igual a 10</v>
          </cell>
        </row>
        <row r="526">
          <cell r="A526" t="str">
            <v>2389</v>
          </cell>
          <cell r="B526" t="str">
            <v>Comprobante no cumple con el Grupo 7: El codigo de moneda no es diferente a PEN</v>
          </cell>
        </row>
        <row r="527">
          <cell r="A527" t="str">
            <v>2390</v>
          </cell>
          <cell r="B527" t="str">
            <v>Comprobante no cumple con el Grupo 8: No todos los items corresponden a operaciones gravadas a IGV</v>
          </cell>
        </row>
        <row r="528">
          <cell r="A528" t="str">
            <v>2391</v>
          </cell>
          <cell r="B528" t="str">
            <v>Comprobante no cumple con el Grupo 9: No todos los items corresponden a operaciones inafectas o exoneradas al IGV</v>
          </cell>
        </row>
        <row r="529">
          <cell r="A529" t="str">
            <v>2392</v>
          </cell>
          <cell r="B529" t="str">
            <v>Comprobante no cumple con el Grupo 10: Falta leyenda con codigo 1002</v>
          </cell>
        </row>
        <row r="530">
          <cell r="A530" t="str">
            <v>2393</v>
          </cell>
          <cell r="B530" t="str">
            <v>Comprobante no cumple con el Grupo 10: Existe item con operación onerosa</v>
          </cell>
        </row>
        <row r="531">
          <cell r="A531" t="str">
            <v>2394</v>
          </cell>
          <cell r="B531" t="str">
            <v>Comprobante no cumple con el Grupo 11: Debe existir Total descuentos mayor a cero</v>
          </cell>
        </row>
        <row r="532">
          <cell r="A532" t="str">
            <v>2395</v>
          </cell>
          <cell r="B532" t="str">
            <v>Comprobante no cumple con el Grupo 12: El codigo de moneda no es diferente a PEN</v>
          </cell>
        </row>
        <row r="533">
          <cell r="A533" t="str">
            <v>2396</v>
          </cell>
          <cell r="B533" t="str">
            <v>Si el monto total es mayor a S/. 700.00 debe consignar tipo y numero de documento del adquiriente</v>
          </cell>
        </row>
        <row r="534">
          <cell r="A534" t="str">
            <v>2397</v>
          </cell>
          <cell r="B534" t="str">
            <v>El tipo de documento del adquiriente no puede ser Numero de RUC</v>
          </cell>
        </row>
        <row r="535">
          <cell r="A535" t="str">
            <v>2398</v>
          </cell>
          <cell r="B535" t="str">
            <v>El documento a dar de baja se encuentra rechazado</v>
          </cell>
        </row>
        <row r="536">
          <cell r="A536" t="str">
            <v>2399</v>
          </cell>
          <cell r="B536" t="str">
            <v>El tipo de documento modificado por la Nota de credito debe ser boleta electronica</v>
          </cell>
        </row>
        <row r="537">
          <cell r="A537" t="str">
            <v>2400</v>
          </cell>
          <cell r="B537" t="str">
            <v>El tipo de documento modificado por la Nota de debito debe ser boleta electronica</v>
          </cell>
        </row>
        <row r="538">
          <cell r="A538" t="str">
            <v>2401</v>
          </cell>
          <cell r="B538" t="str">
            <v>No se puede leer (parsear) el archivo XML</v>
          </cell>
        </row>
        <row r="539">
          <cell r="A539" t="str">
            <v>2402</v>
          </cell>
          <cell r="B539" t="str">
            <v>El caso de prueba no existe</v>
          </cell>
        </row>
        <row r="540">
          <cell r="A540" t="str">
            <v>2403</v>
          </cell>
          <cell r="B540" t="str">
            <v>La numeracion o nombre del documento ya ha sido enviado anteriormente</v>
          </cell>
        </row>
        <row r="541">
          <cell r="A541" t="str">
            <v>2404</v>
          </cell>
          <cell r="B541" t="str">
            <v>Documento afectado por la nota electronica no se encuentra autorizado</v>
          </cell>
        </row>
        <row r="542">
          <cell r="A542" t="str">
            <v>2405</v>
          </cell>
          <cell r="B542" t="str">
            <v>Contribuyente no se encuentra autorizado como emisor de boletas electronicas</v>
          </cell>
        </row>
        <row r="543">
          <cell r="A543" t="str">
            <v>2406</v>
          </cell>
          <cell r="B543" t="str">
            <v>Existe mas de un tag sac:AdditionalMonetaryTotal con el mismo ID</v>
          </cell>
        </row>
        <row r="544">
          <cell r="A544" t="str">
            <v>2407</v>
          </cell>
          <cell r="B544" t="str">
            <v>Existe mas de un tag sac:AdditionalProperty con el mismo ID</v>
          </cell>
        </row>
        <row r="545">
          <cell r="A545" t="str">
            <v>2408</v>
          </cell>
          <cell r="B545" t="str">
            <v>El dato ingresado en PriceAmount del Valor referencial unitario por item no cumple con el formato establecido</v>
          </cell>
        </row>
        <row r="546">
          <cell r="A546" t="str">
            <v>2409</v>
          </cell>
          <cell r="B546" t="str">
            <v>Existe mas de un tag cac:AlternativeConditionPrice con el mismo cbc:PriceTypeCode</v>
          </cell>
        </row>
        <row r="547">
          <cell r="A547" t="str">
            <v>2410</v>
          </cell>
          <cell r="B547" t="str">
            <v>Se ha consignado un valor invalido en el campo cbc:PriceTypeCode</v>
          </cell>
        </row>
        <row r="548">
          <cell r="A548" t="str">
            <v>2411</v>
          </cell>
          <cell r="B548" t="str">
            <v>Ha consignado mas de un elemento cac:AllowanceCharge con el mismo campo cbc:ChargeIndicator</v>
          </cell>
        </row>
        <row r="549">
          <cell r="A549" t="str">
            <v>2412</v>
          </cell>
          <cell r="B549" t="str">
            <v>Se ha consignado mas de un documento afectado por la nota (tag cac:BillingReference)</v>
          </cell>
        </row>
        <row r="550">
          <cell r="A550" t="str">
            <v>2413</v>
          </cell>
          <cell r="B550" t="str">
            <v>Se ha consignado mas de un motivo o sustento de la nota (tag cac:DiscrepancyResponse/cbc:Description)</v>
          </cell>
        </row>
        <row r="551">
          <cell r="A551" t="str">
            <v>2414</v>
          </cell>
          <cell r="B551" t="str">
            <v>No se ha consignado en la nota el tag cac:DiscrepancyResponse</v>
          </cell>
        </row>
        <row r="552">
          <cell r="A552" t="str">
            <v>2415</v>
          </cell>
          <cell r="B552" t="str">
            <v>Se ha consignado en la nota mas de un tag cac:DiscrepancyResponse</v>
          </cell>
        </row>
        <row r="553">
          <cell r="A553" t="str">
            <v>2416</v>
          </cell>
          <cell r="B553" t="str">
            <v>Si existe leyenda Transferencia Gratuita debe consignar Total Valor de Venta de Operaciones Gratuitas</v>
          </cell>
        </row>
        <row r="554">
          <cell r="A554" t="str">
            <v>2417</v>
          </cell>
          <cell r="B554" t="str">
            <v>Debe consignar Valor Referencial unitario por item en operaciones no onerosas</v>
          </cell>
        </row>
        <row r="555">
          <cell r="A555" t="str">
            <v>2418</v>
          </cell>
          <cell r="B555" t="str">
            <v>Si consigna Valor Referencial unitario por item en operaciones no onerosas,la operacion debe ser no onerosa.</v>
          </cell>
        </row>
        <row r="556">
          <cell r="A556" t="str">
            <v>2419</v>
          </cell>
          <cell r="B556" t="str">
            <v>El dato ingresado en AllowanceTotalAmount no cumple con el formato establecido</v>
          </cell>
        </row>
        <row r="557">
          <cell r="A557" t="str">
            <v>2420</v>
          </cell>
          <cell r="B557" t="str">
            <v>Ya transcurrieron mas de 25 dias calendarios para concluir con su proceso de homologacion</v>
          </cell>
        </row>
        <row r="558">
          <cell r="A558" t="str">
            <v>2421</v>
          </cell>
          <cell r="B558" t="str">
            <v>Debe indicar  toda la informacion de  sustento de translado de bienes.</v>
          </cell>
        </row>
        <row r="559">
          <cell r="A559" t="str">
            <v>2422</v>
          </cell>
          <cell r="B559" t="str">
            <v>El valor unitario debe ser menor al precio unitario.</v>
          </cell>
        </row>
        <row r="560">
          <cell r="A560" t="str">
            <v>2423</v>
          </cell>
          <cell r="B560" t="str">
            <v>Si ha consignado monto ISC a nivel de item, debe consignar un monto a nivel de total.</v>
          </cell>
        </row>
        <row r="561">
          <cell r="A561" t="str">
            <v>2424</v>
          </cell>
          <cell r="B561" t="str">
            <v>RC Debe consignar solo un elemento sac:BillingPayment a nivel de item con cbc:InstructionID igual a 05.</v>
          </cell>
        </row>
        <row r="562">
          <cell r="A562" t="str">
            <v>2425</v>
          </cell>
          <cell r="B562" t="str">
            <v>Si la  operacion es gratuita PriceTypeCode =02 y cbc:PriceAmount&gt; 0 el codigo de afectacion de igv debe ser  no onerosa es  decir diferente de 10,20,30.</v>
          </cell>
        </row>
        <row r="563">
          <cell r="A563" t="str">
            <v>2426</v>
          </cell>
          <cell r="B563" t="str">
            <v>Documentos relacionados duplicados en el comprobante.</v>
          </cell>
        </row>
        <row r="564">
          <cell r="A564" t="str">
            <v>2427</v>
          </cell>
          <cell r="B564" t="str">
            <v>Solo debe de existir un tag AdditionalInformation.</v>
          </cell>
        </row>
        <row r="565">
          <cell r="A565" t="str">
            <v>2428</v>
          </cell>
          <cell r="B565" t="str">
            <v>Comprobante no cumple con grupo de facturas con detracciones.</v>
          </cell>
        </row>
        <row r="566">
          <cell r="A566" t="str">
            <v>2429</v>
          </cell>
          <cell r="B566" t="str">
            <v>Comprobante no cumple con grupo de facturas con comercio exterior.</v>
          </cell>
        </row>
        <row r="567">
          <cell r="A567" t="str">
            <v>2430</v>
          </cell>
          <cell r="B567" t="str">
            <v>Comprobante no cumple con grupo de facturas con tag de factura guia.</v>
          </cell>
        </row>
        <row r="568">
          <cell r="A568" t="str">
            <v>2431</v>
          </cell>
          <cell r="B568" t="str">
            <v>Comprobante no cumple con grupo de facturas con tags no tributarios.</v>
          </cell>
        </row>
        <row r="569">
          <cell r="A569" t="str">
            <v>2432</v>
          </cell>
          <cell r="B569" t="str">
            <v>Comprobante no cumple con grupo de boletas con tags no tributarios.</v>
          </cell>
        </row>
        <row r="570">
          <cell r="A570" t="str">
            <v>2433</v>
          </cell>
          <cell r="B570" t="str">
            <v>Comprobante no cumple con grupo de facturas con tag venta itinerante.</v>
          </cell>
        </row>
        <row r="571">
          <cell r="A571" t="str">
            <v>2434</v>
          </cell>
          <cell r="B571" t="str">
            <v>Comprobante no cumple con grupo de boletas con tag venta itinerante.</v>
          </cell>
        </row>
        <row r="572">
          <cell r="A572" t="str">
            <v>2435</v>
          </cell>
          <cell r="B572" t="str">
            <v>Comprobante no cumple con grupo de boletas con ISC.</v>
          </cell>
        </row>
        <row r="573">
          <cell r="A573" t="str">
            <v>2436</v>
          </cell>
          <cell r="B573" t="str">
            <v>Comprobante no cumple con el grupo de boletas de venta con percepcion: El monto de percepcion no existe o es cero.</v>
          </cell>
        </row>
        <row r="574">
          <cell r="A574" t="str">
            <v>2437</v>
          </cell>
          <cell r="B574" t="str">
            <v>Comprobante no cumple con el grupo de boletas de venta con percepcion: Todos los items deben tener código de Afectación al IGV igual a 10.</v>
          </cell>
        </row>
        <row r="575">
          <cell r="A575" t="str">
            <v>2438</v>
          </cell>
          <cell r="B575" t="str">
            <v>Comprobante no cumple con grupo de facturas con tag venta anticipada I.</v>
          </cell>
        </row>
        <row r="576">
          <cell r="A576" t="str">
            <v>2439</v>
          </cell>
          <cell r="B576" t="str">
            <v>Comprobante no cumple con grupo de facturas con tag venta anticipada II.</v>
          </cell>
        </row>
        <row r="577">
          <cell r="A577" t="str">
            <v>2450</v>
          </cell>
          <cell r="B577" t="str">
            <v>Número de DNI no existe</v>
          </cell>
        </row>
        <row r="578">
          <cell r="A578" t="str">
            <v>2451</v>
          </cell>
          <cell r="B578" t="str">
            <v>Vendedor supera el monto permitido para la emision de una liquidacion de compra</v>
          </cell>
        </row>
        <row r="579">
          <cell r="A579" t="str">
            <v>2452</v>
          </cell>
          <cell r="B579" t="str">
            <v>El XML no contiene el tag o no existe informacion de la dirección completa y detallada en domicilio del vendedor</v>
          </cell>
        </row>
        <row r="580">
          <cell r="A580" t="str">
            <v>2453</v>
          </cell>
          <cell r="B580" t="str">
            <v>El XML no contiene el tag o no existe información del ubigeo del domicilio del vendedor</v>
          </cell>
        </row>
        <row r="581">
          <cell r="A581" t="str">
            <v>2454</v>
          </cell>
          <cell r="B581" t="str">
            <v>El XML no contiene el tag o no existe informacion de la dirección completa y detallada del lugar donde se realiza la operación</v>
          </cell>
        </row>
        <row r="582">
          <cell r="A582" t="str">
            <v>2455</v>
          </cell>
          <cell r="B582" t="str">
            <v>El XML no contiene el tag o no existe información del ubigeo del lugar donde se realiza la operación</v>
          </cell>
        </row>
        <row r="583">
          <cell r="A583" t="str">
            <v>2456</v>
          </cell>
          <cell r="B583" t="str">
            <v>Debe consignar el tipo de domicilio del vendedor</v>
          </cell>
        </row>
        <row r="584">
          <cell r="A584" t="str">
            <v>2457</v>
          </cell>
          <cell r="B584" t="str">
            <v>El dato ingresado en el tipo de domicilio del vendedor no corresponde al valor esperado</v>
          </cell>
        </row>
        <row r="585">
          <cell r="A585" t="str">
            <v>2458</v>
          </cell>
          <cell r="B585" t="str">
            <v>Debe consignar el tipo de ubicación del lugar donde se realiza la operación</v>
          </cell>
        </row>
        <row r="586">
          <cell r="A586" t="str">
            <v>2459</v>
          </cell>
          <cell r="B586" t="str">
            <v>El dato ingresado en el tipo de ubicación del lugar donde se realiza la operación no corresponde al valor esperado</v>
          </cell>
        </row>
        <row r="587">
          <cell r="A587" t="str">
            <v>2460</v>
          </cell>
          <cell r="B587" t="str">
            <v>Número de DNI corresponde a una persona fallecida a la fecha de emision</v>
          </cell>
        </row>
        <row r="588">
          <cell r="A588" t="str">
            <v>2461</v>
          </cell>
          <cell r="B588" t="str">
            <v>Número de DNI corresponde a una persona menor de edad</v>
          </cell>
        </row>
        <row r="589">
          <cell r="A589" t="str">
            <v>2462</v>
          </cell>
          <cell r="B589" t="str">
            <v>Número de DNI tiene un Numero de RUC asignado activo</v>
          </cell>
        </row>
        <row r="590">
          <cell r="A590" t="str">
            <v>2463</v>
          </cell>
          <cell r="B590" t="str">
            <v>Emisor no se encuentra afecto a Renta de tercera categoría</v>
          </cell>
        </row>
        <row r="591">
          <cell r="A591" t="str">
            <v>2464</v>
          </cell>
          <cell r="B591" t="str">
            <v>El producto de la tasa por el monto base de la afectación de la retención de renta no corresponde al monto de afectacion de linea</v>
          </cell>
        </row>
        <row r="592">
          <cell r="A592" t="str">
            <v>2465</v>
          </cell>
          <cell r="B592" t="str">
            <v>Tipo de comprobante que realizo el anticipo debe ser 10-Liquidacion de compra</v>
          </cell>
        </row>
        <row r="593">
          <cell r="A593" t="str">
            <v>2466</v>
          </cell>
          <cell r="B593" t="str">
            <v>El XML no contiene el tag de Comercializacion del oro: Codigo unico de concesion minera</v>
          </cell>
        </row>
        <row r="594">
          <cell r="A594" t="str">
            <v>2467</v>
          </cell>
          <cell r="B594" t="str">
            <v>El XML no contiene el tag de Comercializacion del oro: Ley mineral</v>
          </cell>
        </row>
        <row r="595">
          <cell r="A595" t="str">
            <v>2468</v>
          </cell>
          <cell r="B595" t="str">
            <v>El XML no contiene el tag de Comercializacion del oro: Naturaleza del mineral</v>
          </cell>
        </row>
        <row r="596">
          <cell r="A596" t="str">
            <v>2469</v>
          </cell>
          <cell r="B596" t="str">
            <v>El XML no contiene el tag de Comercializacion del oro: Nombre del derecho minero</v>
          </cell>
        </row>
        <row r="597">
          <cell r="A597" t="str">
            <v>2470</v>
          </cell>
          <cell r="B597" t="str">
            <v>El monto base de la retencion de renta global no cumple con el formato establecido</v>
          </cell>
        </row>
        <row r="598">
          <cell r="A598" t="str">
            <v>2471</v>
          </cell>
          <cell r="B598" t="str">
            <v>La liquidacion de compra a dar de baja no debe tener pagos registrados</v>
          </cell>
        </row>
        <row r="599">
          <cell r="A599" t="str">
            <v>2472</v>
          </cell>
          <cell r="B599" t="str">
            <v>El documento no contiene la fecha de inicio del periodo de abono</v>
          </cell>
        </row>
        <row r="600">
          <cell r="A600" t="str">
            <v>2473</v>
          </cell>
          <cell r="B600" t="str">
            <v>El documento no contiene la fecha de fin del periodo de abono</v>
          </cell>
        </row>
        <row r="601">
          <cell r="A601" t="str">
            <v>2474</v>
          </cell>
          <cell r="B601" t="str">
            <v>El documento no contiene el 'Tipo de canal facturado'</v>
          </cell>
        </row>
        <row r="602">
          <cell r="A602" t="str">
            <v>2475</v>
          </cell>
          <cell r="B602" t="str">
            <v>El dato ingresado como 'Tipo de canal facturado' es incorrecto</v>
          </cell>
        </row>
        <row r="603">
          <cell r="A603" t="str">
            <v>2476</v>
          </cell>
          <cell r="B603" t="str">
            <v>Debe registrarse el 'Indicador de tipo de comisión'</v>
          </cell>
        </row>
        <row r="604">
          <cell r="A604" t="str">
            <v>2477</v>
          </cell>
          <cell r="B604" t="str">
            <v>El dato ingresado en el 'Indicador de tipo de comisión' no corresponde al valor esperado</v>
          </cell>
        </row>
        <row r="605">
          <cell r="A605" t="str">
            <v>2478</v>
          </cell>
          <cell r="B605" t="str">
            <v>Para Bancos emisores debe ingresar el 'Indicador de institución financiera'</v>
          </cell>
        </row>
        <row r="606">
          <cell r="A606" t="str">
            <v>2479</v>
          </cell>
          <cell r="B606" t="str">
            <v>El dato ingresado en el 'Indicador de institución financiera' no corresponde al valor esperado</v>
          </cell>
        </row>
        <row r="607">
          <cell r="A607" t="str">
            <v>2480</v>
          </cell>
          <cell r="B607" t="str">
            <v xml:space="preserve">Debe consignar el tag /cac:InvoiceLine/cac:ItemPriceExtension  </v>
          </cell>
        </row>
        <row r="608">
          <cell r="A608" t="str">
            <v>2481</v>
          </cell>
          <cell r="B608" t="str">
            <v>El dato ingresado en el tag /cac:InvoiceLine/cac:ItemPriceExtension/cbc:Amount no cumple con el formato establecido</v>
          </cell>
        </row>
        <row r="609">
          <cell r="A609" t="str">
            <v>2482</v>
          </cell>
          <cell r="B609" t="str">
            <v>Debe consignar el tag /cac:SubInvoiceLine/cac:ItemPriceExtension</v>
          </cell>
        </row>
        <row r="610">
          <cell r="A610" t="str">
            <v>2483</v>
          </cell>
          <cell r="B610" t="str">
            <v>El dato ingresado en el tag cac:InvoiceLine/cac:SubInvoiceLine/cac:ItemPriceExtension/cbc:Amount no cumple con el formato establecido</v>
          </cell>
        </row>
        <row r="611">
          <cell r="A611" t="str">
            <v>2484</v>
          </cell>
          <cell r="B611" t="str">
            <v>Para Bancos emisores locales debe ingresar el Numero de RUC</v>
          </cell>
        </row>
        <row r="612">
          <cell r="A612" t="str">
            <v>2485</v>
          </cell>
          <cell r="B612" t="str">
            <v>Tipo de documento de identidad debe ser RUC</v>
          </cell>
        </row>
        <row r="613">
          <cell r="A613" t="str">
            <v>2486</v>
          </cell>
          <cell r="B613" t="str">
            <v>El dato ingresado en el tag /cac:SubInvoiceLine/cbc:LineExtensionAmount no cumple con el formato establecido</v>
          </cell>
        </row>
        <row r="614">
          <cell r="A614" t="str">
            <v>2487</v>
          </cell>
          <cell r="B614" t="str">
            <v>El XML no contiene el tag cac:LegalMonetaryTotal/cbc:LineExtensionAmount</v>
          </cell>
        </row>
        <row r="615">
          <cell r="A615" t="str">
            <v>2488</v>
          </cell>
          <cell r="B615" t="str">
            <v>El dato ingresado en el tag cac:LegalMonetaryTotal/cbc:LineExtensionAmount no cumple con el formato establecido</v>
          </cell>
        </row>
        <row r="616">
          <cell r="A616" t="str">
            <v>2489</v>
          </cell>
          <cell r="B616" t="str">
            <v>El dato ingresado en el 'Tipo de documento de identidad' no cumple el formato establecido</v>
          </cell>
        </row>
        <row r="617">
          <cell r="A617" t="str">
            <v>2490</v>
          </cell>
          <cell r="B617" t="str">
            <v>Existe más de un Tag UBL cac:OriginatorParty/cac:PartyIdentification</v>
          </cell>
        </row>
        <row r="618">
          <cell r="A618" t="str">
            <v>2491</v>
          </cell>
          <cell r="B618" t="str">
            <v>Debe consignar el Tag UBL cac:OriginatorParty/cac:PartyIdentification/cbc:ID</v>
          </cell>
        </row>
        <row r="619">
          <cell r="A619" t="str">
            <v>2492</v>
          </cell>
          <cell r="B619" t="str">
            <v>El dato ingresado en el tag cac:SubInvoiceLine/cbc:ID no cumple con el formato establecido</v>
          </cell>
        </row>
        <row r="620">
          <cell r="A620" t="str">
            <v>2493</v>
          </cell>
          <cell r="B620" t="str">
            <v>El dato ingresado en el tag /cac:SubInvoiceLine/cbc:ID no debe repetirse en el mismo cac:InvoiceLine</v>
          </cell>
        </row>
        <row r="621">
          <cell r="A621" t="str">
            <v>2494</v>
          </cell>
          <cell r="B621" t="str">
            <v>No existe el tag cac:TaxTotal en el /Invoice/cac:InvoiceLine/cac:SubInvoiceLine</v>
          </cell>
        </row>
        <row r="622">
          <cell r="A622" t="str">
            <v>2495</v>
          </cell>
          <cell r="B622" t="str">
            <v>El tag cac:TaxTotal no debe repetirse en el /Invoice/cac:InvoiceLine/cac:SubInvoiceLine</v>
          </cell>
        </row>
        <row r="623">
          <cell r="A623" t="str">
            <v>2496</v>
          </cell>
          <cell r="B623" t="str">
            <v>El dato ingresado en el tag /cac:SubInvoiceLine/cac:TaxTotal/cbc:TaxAmount no cumple el formato establecido</v>
          </cell>
        </row>
        <row r="624">
          <cell r="A624" t="str">
            <v>2497</v>
          </cell>
          <cell r="B624" t="str">
            <v xml:space="preserve">El dato ingresado en el tag /cac:SubInvoiceLine/cac:TaxTotal/cac:TaxSubtotal/cbc:TaxAmount no cumple el formato establecido </v>
          </cell>
        </row>
        <row r="625">
          <cell r="A625" t="str">
            <v>2498</v>
          </cell>
          <cell r="B625" t="str">
            <v>El XML no contiene el tag cac:TaxCategory/cac:TaxScheme/cbc:ID del /cac:SubInvoiceLine</v>
          </cell>
        </row>
        <row r="626">
          <cell r="A626" t="str">
            <v>2499</v>
          </cell>
          <cell r="B626" t="str">
            <v>El código de tributo no debe repetirse a nivel del /cac:SubInvoiceLine</v>
          </cell>
        </row>
        <row r="627">
          <cell r="A627" t="str">
            <v>2500</v>
          </cell>
          <cell r="B627" t="str">
            <v>Ingresar descripción y valor venta por ítem para documento de anticipos.</v>
          </cell>
        </row>
        <row r="628">
          <cell r="A628" t="str">
            <v>2501</v>
          </cell>
          <cell r="B628" t="str">
            <v>Valor venta debe ser mayor a cero.</v>
          </cell>
        </row>
        <row r="629">
          <cell r="A629" t="str">
            <v>2502</v>
          </cell>
          <cell r="B629" t="str">
            <v>El importe total para tipo de operación Venta interna-Anticipos debe ser mayor a cero.</v>
          </cell>
        </row>
        <row r="630">
          <cell r="A630" t="str">
            <v>2503</v>
          </cell>
          <cell r="B630" t="str">
            <v>PaidAmount: monto anticipado por documento debe ser mayor a cero.</v>
          </cell>
        </row>
        <row r="631">
          <cell r="A631" t="str">
            <v>2504</v>
          </cell>
          <cell r="B631" t="str">
            <v>Falta referencia de la factura relacionada con anticipo.</v>
          </cell>
        </row>
        <row r="632">
          <cell r="A632" t="str">
            <v>2505</v>
          </cell>
          <cell r="B632" t="str">
            <v>Código de documento de referencia debe ser 02 o 03.</v>
          </cell>
        </row>
        <row r="633">
          <cell r="A633" t="str">
            <v>2506</v>
          </cell>
          <cell r="B633" t="str">
            <v>cac:PrepaidPayment/cbc:ID: Factura o boleta no existe o comunicada de Baja.</v>
          </cell>
        </row>
        <row r="634">
          <cell r="A634" t="str">
            <v>2507</v>
          </cell>
          <cell r="B634" t="str">
            <v>Factura relacionada con anticipo no corresponde como factura de anticipo.</v>
          </cell>
        </row>
        <row r="635">
          <cell r="A635" t="str">
            <v>2508</v>
          </cell>
          <cell r="B635" t="str">
            <v>Ingresar documentos por anticipos.</v>
          </cell>
        </row>
        <row r="636">
          <cell r="A636" t="str">
            <v>2509</v>
          </cell>
          <cell r="B636" t="str">
            <v>Total de anticipos diferente a los montos anticipados por documento.</v>
          </cell>
        </row>
        <row r="637">
          <cell r="A637" t="str">
            <v>2510</v>
          </cell>
          <cell r="B637" t="str">
            <v>Nro nombre del documento no tiene el formato correcto.</v>
          </cell>
        </row>
        <row r="638">
          <cell r="A638" t="str">
            <v>2511</v>
          </cell>
          <cell r="B638" t="str">
            <v>El tipo de documento no es aceptado.</v>
          </cell>
        </row>
        <row r="639">
          <cell r="A639" t="str">
            <v>2512</v>
          </cell>
          <cell r="B639" t="str">
            <v>No existe información de serie o número.</v>
          </cell>
        </row>
        <row r="640">
          <cell r="A640" t="str">
            <v>2513</v>
          </cell>
          <cell r="B640" t="str">
            <v>Dato no cumple con formato de acuerdo al tipo de documento</v>
          </cell>
        </row>
        <row r="641">
          <cell r="A641" t="str">
            <v>2514</v>
          </cell>
          <cell r="B641" t="str">
            <v>No existe información de receptor de documento.</v>
          </cell>
        </row>
        <row r="642">
          <cell r="A642" t="str">
            <v>2515</v>
          </cell>
          <cell r="B642" t="str">
            <v>Dato ingresado no cumple con catalogo 6.</v>
          </cell>
        </row>
        <row r="643">
          <cell r="A643" t="str">
            <v>2516</v>
          </cell>
          <cell r="B643" t="str">
            <v>Debe indicar tipo de documento.</v>
          </cell>
        </row>
        <row r="644">
          <cell r="A644" t="str">
            <v>2517</v>
          </cell>
          <cell r="B644" t="str">
            <v>Dato no cumple con formato establecido.</v>
          </cell>
        </row>
        <row r="645">
          <cell r="A645" t="str">
            <v>2518</v>
          </cell>
          <cell r="B645" t="str">
            <v>Calculo IGV no es correcto.</v>
          </cell>
        </row>
        <row r="646">
          <cell r="A646" t="str">
            <v>2519</v>
          </cell>
          <cell r="B646" t="str">
            <v>El importe total no coincide con la sumatoria de los valores de venta mas los tributos mas los cargos menos los descuentos que no afectan la base imponible</v>
          </cell>
        </row>
        <row r="647">
          <cell r="A647" t="str">
            <v>2520</v>
          </cell>
          <cell r="B647" t="str">
            <v>El tipo documento del emisor que realiza el anticipo debe ser 6 del catalogo de tipo de documento.</v>
          </cell>
        </row>
        <row r="648">
          <cell r="A648" t="str">
            <v>2521</v>
          </cell>
          <cell r="B648" t="str">
            <v>El dato ingresado debe indicar SERIE-CORRELATIVO del documento que se realizo el anticipo.</v>
          </cell>
        </row>
        <row r="649">
          <cell r="A649" t="str">
            <v>2522</v>
          </cell>
          <cell r="B649" t="str">
            <v>No existe información del documento del anticipo.</v>
          </cell>
        </row>
        <row r="650">
          <cell r="A650" t="str">
            <v>2523</v>
          </cell>
          <cell r="B650" t="str">
            <v>GrossWeightMeasure - El dato ingresado no cumple con el formato establecido.</v>
          </cell>
        </row>
        <row r="651">
          <cell r="A651" t="str">
            <v>2524</v>
          </cell>
          <cell r="B651" t="str">
            <v>Debe indicar el documento afectado por la nota</v>
          </cell>
        </row>
        <row r="652">
          <cell r="A652" t="str">
            <v>2525</v>
          </cell>
          <cell r="B652" t="str">
            <v>El dato ingresado en Quantity no cumple con el formato establecido.</v>
          </cell>
        </row>
        <row r="653">
          <cell r="A653" t="str">
            <v>2526</v>
          </cell>
          <cell r="B653" t="str">
            <v>El dato ingresado en Percent no cumple con el formato establecido.</v>
          </cell>
        </row>
        <row r="654">
          <cell r="A654" t="str">
            <v>2527</v>
          </cell>
          <cell r="B654" t="str">
            <v>PrepaidAmount: Monto total anticipado debe ser mayor a cero.</v>
          </cell>
        </row>
        <row r="655">
          <cell r="A655" t="str">
            <v>2528</v>
          </cell>
          <cell r="B655" t="str">
            <v>cac:OriginatorDocumentReference/cbc:ID/@SchemaID - El tipo documento debe ser 6 del catalogo de tipo de documento.</v>
          </cell>
        </row>
        <row r="656">
          <cell r="A656" t="str">
            <v>2529</v>
          </cell>
          <cell r="B656" t="str">
            <v>RUC que emitio documento de anticipo, no existe.</v>
          </cell>
        </row>
        <row r="657">
          <cell r="A657" t="str">
            <v>2530</v>
          </cell>
          <cell r="B657" t="str">
            <v>RUC que solicita la emision de la factura, no existe.</v>
          </cell>
        </row>
        <row r="658">
          <cell r="A658" t="str">
            <v>2531</v>
          </cell>
          <cell r="B658" t="str">
            <v>Codigo del Local Anexo del emisor no existe.</v>
          </cell>
        </row>
        <row r="659">
          <cell r="A659" t="str">
            <v>2532</v>
          </cell>
          <cell r="B659" t="str">
            <v>No existe información de modalidad de transporte.</v>
          </cell>
        </row>
        <row r="660">
          <cell r="A660" t="str">
            <v>2533</v>
          </cell>
          <cell r="B660" t="str">
            <v>Si ha consignado Transporte Privado, debe consignar Licencia de conducir, Placa, N constancia de inscripcion y marca del vehiculo.</v>
          </cell>
        </row>
        <row r="661">
          <cell r="A661" t="str">
            <v>2534</v>
          </cell>
          <cell r="B661" t="str">
            <v>Si ha consignado Transporte Público, debe consignar Datos del transportista.</v>
          </cell>
        </row>
        <row r="662">
          <cell r="A662" t="str">
            <v>2535</v>
          </cell>
          <cell r="B662" t="str">
            <v>La nota de crédito por otros conceptos tributarios debe tener Otros Documentos Relacionados.</v>
          </cell>
        </row>
        <row r="663">
          <cell r="A663" t="str">
            <v>2536</v>
          </cell>
          <cell r="B663" t="str">
            <v>La serie y numero de la GRE consignada como documento relacionado no se encuentra registrado con baja por cambio de destinatario</v>
          </cell>
        </row>
        <row r="664">
          <cell r="A664">
            <v>2537</v>
          </cell>
          <cell r="B664" t="str">
            <v>cac:OrderReference/cac:DocumentReference/cbc:DocumentTypeCode - El tipo de documento de serie y número dado de baja es incorrecta.</v>
          </cell>
        </row>
        <row r="665">
          <cell r="A665" t="str">
            <v>2538</v>
          </cell>
          <cell r="B665" t="str">
            <v>El contribuyente no se encuentra autorizado como emisor electronico de Guía o de factura o de boletaFactura GEM.</v>
          </cell>
        </row>
        <row r="666">
          <cell r="A666" t="str">
            <v>2539</v>
          </cell>
          <cell r="B666" t="str">
            <v>El contribuyente no esta activo.</v>
          </cell>
        </row>
        <row r="667">
          <cell r="A667" t="str">
            <v>2540</v>
          </cell>
          <cell r="B667" t="str">
            <v>El contribuyente no esta habido.</v>
          </cell>
        </row>
        <row r="668">
          <cell r="A668" t="str">
            <v>2541</v>
          </cell>
          <cell r="B668" t="str">
            <v>El XML no contiene el tag o no existe informacion del tipo de documento identidad del remitente.</v>
          </cell>
        </row>
        <row r="669">
          <cell r="A669" t="str">
            <v>2542</v>
          </cell>
          <cell r="B669" t="str">
            <v>cac:DespatchSupplierParty/cbc:CustomerAssignedAccountID@schemeID - El valor ingresado como tipo de documento identidad del remitente es incorrecta.</v>
          </cell>
        </row>
        <row r="670">
          <cell r="A670" t="str">
            <v>2543</v>
          </cell>
          <cell r="B670" t="str">
            <v>El XML no contiene el tag o no existe informacion de la dirección completa y detallada en domicilio fiscal.</v>
          </cell>
        </row>
        <row r="671">
          <cell r="A671" t="str">
            <v>2544</v>
          </cell>
          <cell r="B671" t="str">
            <v>El XML no contiene el tag o no existe información de la provincia en domicilio fiscal.</v>
          </cell>
        </row>
        <row r="672">
          <cell r="A672" t="str">
            <v>2545</v>
          </cell>
          <cell r="B672" t="str">
            <v>El XML no contiene el tag o no existe información del departamento en domicilio fiscal.</v>
          </cell>
        </row>
        <row r="673">
          <cell r="A673" t="str">
            <v>2546</v>
          </cell>
          <cell r="B673" t="str">
            <v>El XML no contiene el tag o no existe información del distrito en domicilio fiscal.</v>
          </cell>
        </row>
        <row r="674">
          <cell r="A674" t="str">
            <v>2547</v>
          </cell>
          <cell r="B674" t="str">
            <v>El XML no contiene el tag o no existe información del país en domicilio fiscal.</v>
          </cell>
        </row>
        <row r="675">
          <cell r="A675" t="str">
            <v>2548</v>
          </cell>
          <cell r="B675" t="str">
            <v>El valor del país inválido.</v>
          </cell>
        </row>
        <row r="676">
          <cell r="A676" t="str">
            <v>2549</v>
          </cell>
          <cell r="B676" t="str">
            <v>El XML no contiene el tag o no existe informacion del tipo de documento identidad del destinatario.</v>
          </cell>
        </row>
        <row r="677">
          <cell r="A677" t="str">
            <v>2550</v>
          </cell>
          <cell r="B677" t="str">
            <v>cac:DeliveryCustomerParty/cbc:CustomerAssignedAccountID@schemeID - El dato ingresado de tipo de documento identidad del destinatario no cumple con el estandar.</v>
          </cell>
        </row>
        <row r="678">
          <cell r="A678" t="str">
            <v>2551</v>
          </cell>
          <cell r="B678" t="str">
            <v>El XML no contiene el tag o no existe informacion de CustomerAssignedAccountID del proveedor de servicios.</v>
          </cell>
        </row>
        <row r="679">
          <cell r="A679" t="str">
            <v>2552</v>
          </cell>
          <cell r="B679" t="str">
            <v>El XML no contiene el tag o no existe informacion del tipo de documento identidad del proveedor.</v>
          </cell>
        </row>
        <row r="680">
          <cell r="A680" t="str">
            <v>2553</v>
          </cell>
          <cell r="B680" t="str">
            <v>cac:SellerSupplierParty/cbc:CustomerAssignedAccountID@schemeID - El dato ingresado no es valido.</v>
          </cell>
        </row>
        <row r="681">
          <cell r="A681" t="str">
            <v>2554</v>
          </cell>
          <cell r="B681" t="str">
            <v>Para el motivo de traslado ingresado el Destinatario debe ser igual al remitente.</v>
          </cell>
        </row>
        <row r="682">
          <cell r="A682" t="str">
            <v>2555</v>
          </cell>
          <cell r="B682" t="str">
            <v>Destinatario no debe ser igual al remitente.</v>
          </cell>
        </row>
        <row r="683">
          <cell r="A683" t="str">
            <v>2556</v>
          </cell>
          <cell r="B683" t="str">
            <v>cbc:TransportModeCode -  dato ingresado no es valido.</v>
          </cell>
        </row>
        <row r="684">
          <cell r="A684" t="str">
            <v>2557</v>
          </cell>
          <cell r="B684" t="str">
            <v>La fecha del StartDate no debe ser menor al Today.</v>
          </cell>
        </row>
        <row r="685">
          <cell r="A685" t="str">
            <v>2558</v>
          </cell>
          <cell r="B685" t="str">
            <v>El XML no contiene el tag o no existe informacion en Numero de Ruc del transportista.</v>
          </cell>
        </row>
        <row r="686">
          <cell r="A686" t="str">
            <v>2559</v>
          </cell>
          <cell r="B686" t="str">
            <v>/DespatchAdvice/cac:Shipment/cac:ShipmentStage/cac:CarrierParty/cac:PartyIdentification/cbc:ID  - El dato ingresado no cumple con el formato establecido.</v>
          </cell>
        </row>
        <row r="687">
          <cell r="A687" t="str">
            <v>2560</v>
          </cell>
          <cell r="B687" t="str">
            <v>Transportista no debe ser igual al remitente</v>
          </cell>
        </row>
        <row r="688">
          <cell r="A688" t="str">
            <v>2561</v>
          </cell>
          <cell r="B688" t="str">
            <v>El XML no contiene el tag o no existe informacion del tipo de documento identidad del transportista.</v>
          </cell>
        </row>
        <row r="689">
          <cell r="A689" t="str">
            <v>2562</v>
          </cell>
          <cell r="B689" t="str">
            <v>/DespatchAdvice/cac:Shipment/cac:ShipmentStage/cac:CarrierParty/cac:PartyIdentification/cbc:ID@schemeID  - El dato ingresado no es valido.</v>
          </cell>
        </row>
        <row r="690">
          <cell r="A690" t="str">
            <v>2563</v>
          </cell>
          <cell r="B690" t="str">
            <v>El XML no contiene el tag o no existe informacion de Apellido, Nombre o razon social del transportista.</v>
          </cell>
        </row>
        <row r="691">
          <cell r="A691" t="str">
            <v>2564</v>
          </cell>
          <cell r="B691" t="str">
            <v>Razon social transportista - El dato ingresado no cumple con el formato establecido.</v>
          </cell>
        </row>
        <row r="692">
          <cell r="A692" t="str">
            <v>2565</v>
          </cell>
          <cell r="B692" t="str">
            <v>El XML no contiene el tag o no existe informacion del tipo de unidad de transporte.</v>
          </cell>
        </row>
        <row r="693">
          <cell r="A693" t="str">
            <v>2566</v>
          </cell>
          <cell r="B693" t="str">
            <v>El XML no contiene el tag o no existe informacion del Numero de placa del vehículo.</v>
          </cell>
        </row>
        <row r="694">
          <cell r="A694" t="str">
            <v>2567</v>
          </cell>
          <cell r="B694" t="str">
            <v>Numero de placa del vehículo - El dato ingresado no cumple con el formato establecido.</v>
          </cell>
        </row>
        <row r="695">
          <cell r="A695" t="str">
            <v>2568</v>
          </cell>
          <cell r="B695" t="str">
            <v>El XML no contiene el tag o no existe informacion en el Numero de documento de identidad del conductor.</v>
          </cell>
        </row>
        <row r="696">
          <cell r="A696" t="str">
            <v>2569</v>
          </cell>
          <cell r="B696" t="str">
            <v>Documento identidad del conductor - El dato ingresado no cumple con el formato establecido.</v>
          </cell>
        </row>
        <row r="697">
          <cell r="A697" t="str">
            <v>2570</v>
          </cell>
          <cell r="B697" t="str">
            <v>El XML no contiene el tag o no existe informacion del tipo de documento identidad del conductor.</v>
          </cell>
        </row>
        <row r="698">
          <cell r="A698" t="str">
            <v>2571</v>
          </cell>
          <cell r="B698" t="str">
            <v>cac:DriverPerson/ID@schemeID - El valor ingresado de tipo de documento identidad de conductor es incorrecto.</v>
          </cell>
        </row>
        <row r="699">
          <cell r="A699" t="str">
            <v>2572</v>
          </cell>
          <cell r="B699" t="str">
            <v>El XML no contiene el tag o no existe informacion del Numero de licencia del conductor.</v>
          </cell>
        </row>
        <row r="700">
          <cell r="A700" t="str">
            <v>2573</v>
          </cell>
          <cell r="B700" t="str">
            <v>Numero de licencia del conductor - El dato ingresado no cumple con el formato establecido.</v>
          </cell>
        </row>
        <row r="701">
          <cell r="A701" t="str">
            <v>2574</v>
          </cell>
          <cell r="B701" t="str">
            <v>El XML no contiene el tag o no existe informacion de direccion detallada de punto de llegada.</v>
          </cell>
        </row>
        <row r="702">
          <cell r="A702" t="str">
            <v>2575</v>
          </cell>
          <cell r="B702" t="str">
            <v>El XML no contiene el tag o no existe informacion de CityName.</v>
          </cell>
        </row>
        <row r="703">
          <cell r="A703" t="str">
            <v>2576</v>
          </cell>
          <cell r="B703" t="str">
            <v>El XML no contiene el tag o no existe informacion de District.</v>
          </cell>
        </row>
        <row r="704">
          <cell r="A704" t="str">
            <v>2577</v>
          </cell>
          <cell r="B704" t="str">
            <v>El XML no contiene el tag o no existe informacion de direccion detallada de punto de partida.</v>
          </cell>
        </row>
        <row r="705">
          <cell r="A705" t="str">
            <v>2578</v>
          </cell>
          <cell r="B705" t="str">
            <v>El XML no contiene el tag o no existe informacion de CityName.</v>
          </cell>
        </row>
        <row r="706">
          <cell r="A706" t="str">
            <v>2579</v>
          </cell>
          <cell r="B706" t="str">
            <v>El XML no contiene el tag o no existe informacion de District.</v>
          </cell>
        </row>
        <row r="707">
          <cell r="A707" t="str">
            <v>2580</v>
          </cell>
          <cell r="B707" t="str">
            <v>El XML No contiene el tag o no existe información de la cantidad del item.</v>
          </cell>
        </row>
        <row r="708">
          <cell r="A708" t="str">
            <v>2581</v>
          </cell>
          <cell r="B708" t="str">
            <v>No puede dar de baja 'Recibos de servicios publicos' por SEE-Desde los sistemas del contribuyente</v>
          </cell>
        </row>
        <row r="709">
          <cell r="A709" t="str">
            <v>2582</v>
          </cell>
          <cell r="B709" t="str">
            <v>Solo se debe incluir el tag de Comprobante de referencia cuando se trata de una nota de credito o debito</v>
          </cell>
        </row>
        <row r="710">
          <cell r="A710" t="str">
            <v>2583</v>
          </cell>
          <cell r="B710" t="str">
            <v>Debe consignar tipo de documento que modifica</v>
          </cell>
        </row>
        <row r="711">
          <cell r="A711" t="str">
            <v>2584</v>
          </cell>
          <cell r="B711" t="str">
            <v>El XML debe contener al menos un tributo de IGV en el /cac:SubInvoiceLine</v>
          </cell>
        </row>
        <row r="712">
          <cell r="A712" t="str">
            <v>2585</v>
          </cell>
          <cell r="B712" t="str">
            <v>El dato ingresado como indicador de cargo/descuento a nivel de /cac:SubInvoiceLine no corresponde al valor esperado</v>
          </cell>
        </row>
        <row r="713">
          <cell r="A713" t="str">
            <v>2586</v>
          </cell>
          <cell r="B713" t="str">
            <v>El XML no contiene el tag o no existe informacion de codigo de motivo de cargo/descuento a nivel de /cac:SubInvoiceLine</v>
          </cell>
        </row>
        <row r="714">
          <cell r="A714" t="str">
            <v>2587</v>
          </cell>
          <cell r="B714" t="str">
            <v>El factor de cargo/descuento a nivel de /cac:SubInvoiceLine no cumple con el formato establecido</v>
          </cell>
        </row>
        <row r="715">
          <cell r="A715" t="str">
            <v>2588</v>
          </cell>
          <cell r="B715" t="str">
            <v>El dato ingresado en el tag cac:SubInvoiceLine/cac:Allowancecharge/cbc:Amount no cumple con el formato establecido</v>
          </cell>
        </row>
        <row r="716">
          <cell r="A716" t="str">
            <v>2589</v>
          </cell>
          <cell r="B716" t="str">
            <v>El Monto base de cargo/descuento a nivel de /cac:SubInvoiceLine no cumple con el formato establecido</v>
          </cell>
        </row>
        <row r="717">
          <cell r="A717" t="str">
            <v>2590</v>
          </cell>
          <cell r="B717" t="str">
            <v xml:space="preserve">El dato ingresado en el tag /cac:SubInvoiceLine/cac:TaxTotal/cac:TaxSubtotal/cbc:TaxableAmount no cumple el formato establecido </v>
          </cell>
        </row>
        <row r="718">
          <cell r="A718" t="str">
            <v>2591</v>
          </cell>
          <cell r="B718" t="str">
            <v>No existe el tag cac:LegalMonetaryTotal/cbc:LineExtensionAmount</v>
          </cell>
        </row>
        <row r="719">
          <cell r="A719" t="str">
            <v>2592</v>
          </cell>
          <cell r="B719" t="str">
            <v>No existe el tag cac:LegalMonetaryTotal/cbc:TaxInclusiveAmount</v>
          </cell>
        </row>
        <row r="720">
          <cell r="A720" t="str">
            <v>2593</v>
          </cell>
          <cell r="B720" t="str">
            <v>La dirección completa y detallada del domicilio del vendedor no cumple con el formato establecido</v>
          </cell>
        </row>
        <row r="721">
          <cell r="A721" t="str">
            <v>2594</v>
          </cell>
          <cell r="B721" t="str">
            <v>El tipo de documento modificado por la nota electronica no es valido</v>
          </cell>
        </row>
        <row r="722">
          <cell r="A722" t="str">
            <v>2595</v>
          </cell>
          <cell r="B722" t="str">
            <v>Falta consignar informacion del CUSPP</v>
          </cell>
        </row>
        <row r="723">
          <cell r="A723" t="str">
            <v>2596</v>
          </cell>
          <cell r="B723" t="str">
            <v>Falta consignar informacion del Periodo</v>
          </cell>
        </row>
        <row r="724">
          <cell r="A724" t="str">
            <v>2597</v>
          </cell>
          <cell r="B724" t="str">
            <v>Falta consignar información del monto de interes moratorio</v>
          </cell>
        </row>
        <row r="725">
          <cell r="A725" t="str">
            <v>2600</v>
          </cell>
          <cell r="B725" t="str">
            <v>El comprobante fue enviado fuera del plazo permitido.</v>
          </cell>
        </row>
        <row r="726">
          <cell r="A726" t="str">
            <v>2601</v>
          </cell>
          <cell r="B726" t="str">
            <v>Senor contribuyente a la fecha no se encuentra registrado ó habilitado con la condición de Agente de percepción.</v>
          </cell>
        </row>
        <row r="727">
          <cell r="A727" t="str">
            <v>2602</v>
          </cell>
          <cell r="B727" t="str">
            <v>El régimen percepción enviado no corresponde con su condición de Agente de percepción.</v>
          </cell>
        </row>
        <row r="728">
          <cell r="A728" t="str">
            <v>2603</v>
          </cell>
          <cell r="B728" t="str">
            <v>La tasa de percepción enviada no corresponde con el régimen de percepción.</v>
          </cell>
        </row>
        <row r="729">
          <cell r="A729" t="str">
            <v>2604</v>
          </cell>
          <cell r="B729" t="str">
            <v>El Cliente no puede ser el mismo que el Emisor del comprobante de percepción.</v>
          </cell>
        </row>
        <row r="730">
          <cell r="A730" t="str">
            <v>2605</v>
          </cell>
          <cell r="B730" t="str">
            <v>Número de RUC no existe.</v>
          </cell>
        </row>
        <row r="731">
          <cell r="A731" t="str">
            <v>2606</v>
          </cell>
          <cell r="B731" t="str">
            <v>Documento de identidad del Cliente no existe.</v>
          </cell>
        </row>
        <row r="732">
          <cell r="A732" t="str">
            <v>2607</v>
          </cell>
          <cell r="B732" t="str">
            <v>La moneda del importe de cobro debe ser la misma que la del documento relacionado.</v>
          </cell>
        </row>
        <row r="733">
          <cell r="A733" t="str">
            <v>2608</v>
          </cell>
          <cell r="B733" t="str">
            <v>Los montos de pago, percibidos y montos cobrados consignados para el documento relacionado no son correctos.</v>
          </cell>
        </row>
        <row r="734">
          <cell r="A734" t="str">
            <v>2609</v>
          </cell>
          <cell r="B734" t="str">
            <v>El comprobante electrónico enviado no se encuentra registrado en la SUNAT.</v>
          </cell>
        </row>
        <row r="735">
          <cell r="A735" t="str">
            <v>2610</v>
          </cell>
          <cell r="B735" t="str">
            <v>La fecha de emisión, Importe total del comprobante y la moneda del comprobante electrónico enviado no son los registrados en los Sistemas de SUNAT.</v>
          </cell>
        </row>
        <row r="736">
          <cell r="A736" t="str">
            <v>2611</v>
          </cell>
          <cell r="B736" t="str">
            <v>El comprobante electrónico no ha sido emitido al cliente.</v>
          </cell>
        </row>
        <row r="737">
          <cell r="A737" t="str">
            <v>2612</v>
          </cell>
          <cell r="B737" t="str">
            <v>La fecha de cobro debe estar entre el primer día calendario del mes al cual corresponde la fecha de emisión del comprobante de percepción o desde la fecha de emisión del comprobante relacionado.</v>
          </cell>
        </row>
        <row r="738">
          <cell r="A738" t="str">
            <v>2613</v>
          </cell>
          <cell r="B738" t="str">
            <v>El Nro. de documento con número de cobro ya se encuentra en la Relación de Documentos Relacionados agregados.</v>
          </cell>
        </row>
        <row r="739">
          <cell r="A739" t="str">
            <v>2614</v>
          </cell>
          <cell r="B739" t="str">
            <v>El Nro. de documento con el número de cobro ya se encuentra registrado como pago realizado.</v>
          </cell>
        </row>
        <row r="740">
          <cell r="A740" t="str">
            <v>2615</v>
          </cell>
          <cell r="B740" t="str">
            <v>Importe total percibido debe ser igual a la suma de los importes percibidos por cada documento relacionado.</v>
          </cell>
        </row>
        <row r="741">
          <cell r="A741" t="str">
            <v>2616</v>
          </cell>
          <cell r="B741" t="str">
            <v>Importe total cobrado debe ser igual a la suma de los importe totales cobrados por cada documento relacionado.</v>
          </cell>
        </row>
        <row r="742">
          <cell r="A742" t="str">
            <v>2617</v>
          </cell>
          <cell r="B742" t="str">
            <v>Senor contribuyente a la fecha no se encuentra registrado ó habilitado con la condición de Agente de retención.</v>
          </cell>
        </row>
        <row r="743">
          <cell r="A743" t="str">
            <v>2618</v>
          </cell>
          <cell r="B743" t="str">
            <v>El régimen retención enviado no corresponde con su condición de Agente de retención.</v>
          </cell>
        </row>
        <row r="744">
          <cell r="A744" t="str">
            <v>2619</v>
          </cell>
          <cell r="B744" t="str">
            <v>La tasa de retención enviada no corresponde con el régimen de retención.</v>
          </cell>
        </row>
        <row r="745">
          <cell r="A745" t="str">
            <v>2620</v>
          </cell>
          <cell r="B745" t="str">
            <v>El Proveedor no puede ser el mismo que el Emisor del comprobante de retención.</v>
          </cell>
        </row>
        <row r="746">
          <cell r="A746" t="str">
            <v>2621</v>
          </cell>
          <cell r="B746" t="str">
            <v>Número de RUC del Proveedor no existe.</v>
          </cell>
        </row>
        <row r="747">
          <cell r="A747" t="str">
            <v>2622</v>
          </cell>
          <cell r="B747" t="str">
            <v>La moneda del importe de pago debe ser la misma que la del documento relacionado.</v>
          </cell>
        </row>
        <row r="748">
          <cell r="A748" t="str">
            <v>2623</v>
          </cell>
          <cell r="B748" t="str">
            <v>Los montos de pago, retenidos y montos pagados consignados para el documento relacionado no son correctos.</v>
          </cell>
        </row>
        <row r="749">
          <cell r="A749" t="str">
            <v>2624</v>
          </cell>
          <cell r="B749" t="str">
            <v>El comprobante electrónico no ha sido emitido por el proveedor.</v>
          </cell>
        </row>
        <row r="750">
          <cell r="A750" t="str">
            <v>2625</v>
          </cell>
          <cell r="B750" t="str">
            <v>La fecha de pago debe estar entre el primer día calendario del mes al cual corresponde la fecha de emisión del comprobante de retención o desde la fecha de emisión del comprobante relacionado.</v>
          </cell>
        </row>
        <row r="751">
          <cell r="A751" t="str">
            <v>2626</v>
          </cell>
          <cell r="B751" t="str">
            <v>El Nro. de documento con el número de pago ya se encuentra en la Relación de Documentos Relacionados agregados.</v>
          </cell>
        </row>
        <row r="752">
          <cell r="A752" t="str">
            <v>2627</v>
          </cell>
          <cell r="B752" t="str">
            <v>El Nro. de documento con el número de pago ya se encuentra registrado como pago realizado.</v>
          </cell>
        </row>
        <row r="753">
          <cell r="A753" t="str">
            <v>2628</v>
          </cell>
          <cell r="B753" t="str">
            <v>Importe total retenido debe ser igual a la suma de los importes retenidos por cada documento relacionado.</v>
          </cell>
        </row>
        <row r="754">
          <cell r="A754" t="str">
            <v>2629</v>
          </cell>
          <cell r="B754" t="str">
            <v>Importe total pagado debe ser igual a la suma de los importes pagados por cada documento relacionado.</v>
          </cell>
        </row>
        <row r="755">
          <cell r="A755" t="str">
            <v>2630</v>
          </cell>
          <cell r="B755" t="str">
            <v>La serie o numero del documento(01) modificado por la Nota de Credito no cumple con el formato establecido para tipo codigo Nota Credito 10.</v>
          </cell>
        </row>
        <row r="756">
          <cell r="A756" t="str">
            <v>2631</v>
          </cell>
          <cell r="B756" t="str">
            <v>La serie o numero del documento(12) modificado por la Nota de Credito no cumple con el formato establecido para tipo codigo Nota Credito 10.</v>
          </cell>
        </row>
        <row r="757">
          <cell r="A757" t="str">
            <v>2632</v>
          </cell>
          <cell r="B757" t="str">
            <v>La serie o numero del documento(56) modificado por la Nota de Credito no cumple con el formato establecido para tipo codigo Nota Credito 10.</v>
          </cell>
        </row>
        <row r="758">
          <cell r="A758" t="str">
            <v>2633</v>
          </cell>
          <cell r="B758" t="str">
            <v>La serie o numero del documento(03) modificado por la Nota de Credito no cumple con el formato establecido para tipo codigo Nota Credito 10.</v>
          </cell>
        </row>
        <row r="759">
          <cell r="A759" t="str">
            <v>2634</v>
          </cell>
          <cell r="B759" t="str">
            <v>ReferenceID - El dato ingresado debe indicar serie correcta del documento al que se relaciona la Nota tipo 10.</v>
          </cell>
        </row>
        <row r="760">
          <cell r="A760" t="str">
            <v>2635</v>
          </cell>
          <cell r="B760" t="str">
            <v>Debe existir DocumentTypeCode de Otros documentos relacionados con valor 99 para un tipo codigo Nota Credito 10.</v>
          </cell>
        </row>
        <row r="761">
          <cell r="A761" t="str">
            <v>2636</v>
          </cell>
          <cell r="B761" t="str">
            <v>No existe datos del ID de los documentos relacionados con valor 99 para un tipo codigo Nota Credito 10.</v>
          </cell>
        </row>
        <row r="762">
          <cell r="A762" t="str">
            <v>2637</v>
          </cell>
          <cell r="B762" t="str">
            <v>No existe datos del DocumentType de los documentos relacionados con valor 99 para un tipo codigo Nota Credito 10.</v>
          </cell>
        </row>
        <row r="763">
          <cell r="A763" t="str">
            <v>2638</v>
          </cell>
          <cell r="B763" t="str">
            <v xml:space="preserve">Si tiene operaciones de un tributo en alguna línea, debe consignar el tag del total del tributo </v>
          </cell>
        </row>
        <row r="764">
          <cell r="A764" t="str">
            <v>2640</v>
          </cell>
          <cell r="B764" t="str">
            <v>Operacion gratuita, solo debe consignar un monto referencial</v>
          </cell>
        </row>
        <row r="765">
          <cell r="A765" t="str">
            <v>2641</v>
          </cell>
          <cell r="B765" t="str">
            <v>Operacion gratuita,  debe consignar Total valor venta - operaciones gratuitas  mayor a cero</v>
          </cell>
        </row>
        <row r="766">
          <cell r="A766" t="str">
            <v>2642</v>
          </cell>
          <cell r="B766" t="str">
            <v>Operaciones de exportacion, deben consignar Tipo Afectacion igual a 40</v>
          </cell>
        </row>
        <row r="767">
          <cell r="A767" t="str">
            <v>2643</v>
          </cell>
          <cell r="B767" t="str">
            <v>Factura de operacion sujeta IVAP debe consignar Monto de impuestos por item</v>
          </cell>
        </row>
        <row r="768">
          <cell r="A768" t="str">
            <v>2644</v>
          </cell>
          <cell r="B768" t="str">
            <v>Comprobante operacion sujeta IVAP solo debe tener ítems con código de afectación del IGV igual a 17</v>
          </cell>
        </row>
        <row r="769">
          <cell r="A769" t="str">
            <v>2645</v>
          </cell>
          <cell r="B769" t="str">
            <v>Factura de operacion sujeta a IVAP debe consignar items con codigo de tributo 1000</v>
          </cell>
        </row>
        <row r="770">
          <cell r="A770" t="str">
            <v>2646</v>
          </cell>
          <cell r="B770" t="str">
            <v>Factura de operacion sujeta a IVAP debe consignar  items con nombre  de tributo IVAP</v>
          </cell>
        </row>
        <row r="771">
          <cell r="A771" t="str">
            <v>2647</v>
          </cell>
          <cell r="B771" t="str">
            <v>Código tributo  UN/ECE debe ser VAT</v>
          </cell>
        </row>
        <row r="772">
          <cell r="A772" t="str">
            <v>2648</v>
          </cell>
          <cell r="B772" t="str">
            <v>Factura de operacion sujeta al IVAP, solo puede consignar informacion para operacion gravadas</v>
          </cell>
        </row>
        <row r="773">
          <cell r="A773" t="str">
            <v>2649</v>
          </cell>
          <cell r="B773" t="str">
            <v>Operación sujeta al IVAP, debe consignar monto en total operaciones gravadas</v>
          </cell>
        </row>
        <row r="774">
          <cell r="A774" t="str">
            <v>2650</v>
          </cell>
          <cell r="B774" t="str">
            <v>Factura de operacion sujeta al IVAP , no debe consignar valor para ISC o debe ser 0</v>
          </cell>
        </row>
        <row r="775">
          <cell r="A775" t="str">
            <v>2651</v>
          </cell>
          <cell r="B775" t="str">
            <v>Factura de operacion sujeta al IVAP , no debe consignar valor para IGV o debe ser 0</v>
          </cell>
        </row>
        <row r="776">
          <cell r="A776" t="str">
            <v>2652</v>
          </cell>
          <cell r="B776" t="str">
            <v>Factura de operacion sujeta al IVAP , debe registrar mensaje 2007</v>
          </cell>
        </row>
        <row r="777">
          <cell r="A777" t="str">
            <v>2653</v>
          </cell>
          <cell r="B777" t="str">
            <v>Servicios prestados No domiciliados. Total IGV debe se mayor a cero</v>
          </cell>
        </row>
        <row r="778">
          <cell r="A778" t="str">
            <v>2654</v>
          </cell>
          <cell r="B778" t="str">
            <v>Servicios prestados No domiciliados. Código tributo a consignar debe ser 1000</v>
          </cell>
        </row>
        <row r="779">
          <cell r="A779" t="str">
            <v>2655</v>
          </cell>
          <cell r="B779" t="str">
            <v>Servicios prestados No domiciliados. El código de afectación debe ser 40</v>
          </cell>
        </row>
        <row r="780">
          <cell r="A780" t="str">
            <v>2656</v>
          </cell>
          <cell r="B780" t="str">
            <v>Servicios prestados No domiciliados. Código tributo  UN/ECE debe ser VAT</v>
          </cell>
        </row>
        <row r="781">
          <cell r="A781" t="str">
            <v>2657</v>
          </cell>
          <cell r="B781" t="str">
            <v>El Nro. de documento ya fué utilizado en la emision de CPE.</v>
          </cell>
        </row>
        <row r="782">
          <cell r="A782" t="str">
            <v>2658</v>
          </cell>
          <cell r="B782" t="str">
            <v>El Nro. de documento no se ha informado o no se encuentra en estado Revertido</v>
          </cell>
        </row>
        <row r="783">
          <cell r="A783" t="str">
            <v>2659</v>
          </cell>
          <cell r="B783" t="str">
            <v>La fecha de cobro de cada documento relacionado deben ser del mismo Periodo (mm/aaaa), asimismo estas fechas podrán ser menores o iguales a la fecha de emisión del comprobante de percepción</v>
          </cell>
        </row>
        <row r="784">
          <cell r="A784" t="str">
            <v>2660</v>
          </cell>
          <cell r="B784" t="str">
            <v>Los datos del CPE revertido no corresponden a los registrados en la SUNAT</v>
          </cell>
        </row>
        <row r="785">
          <cell r="A785" t="str">
            <v>2661</v>
          </cell>
          <cell r="B785" t="str">
            <v>La fecha de cobro de cada documento relacionado deben ser del mismo Periodo (mm/aaaa), asimismo estas fechas podrán ser menores o iguales a la fecha de emisión del comprobante de retencion</v>
          </cell>
        </row>
        <row r="786">
          <cell r="A786" t="str">
            <v>2662</v>
          </cell>
          <cell r="B786" t="str">
            <v>El Nro. de documento ya fué utilizado en la emision de CRE.</v>
          </cell>
        </row>
        <row r="787">
          <cell r="A787" t="str">
            <v>2663</v>
          </cell>
          <cell r="B787" t="str">
            <v>El documento indicado no existe no puede ser modificado</v>
          </cell>
        </row>
        <row r="788">
          <cell r="A788" t="str">
            <v>2664</v>
          </cell>
          <cell r="B788" t="str">
            <v>El calculo de la base imponible de percepción y el monto de la percepción no coincide con el monto total informado.</v>
          </cell>
        </row>
        <row r="789">
          <cell r="A789" t="str">
            <v>2665</v>
          </cell>
          <cell r="B789" t="str">
            <v>El contribuyente no se encuentra autorizado a emitir Tickets</v>
          </cell>
        </row>
        <row r="790">
          <cell r="A790" t="str">
            <v>2666</v>
          </cell>
          <cell r="B790" t="str">
            <v>Las percepciones son solo válidas para boletas de venta al contado.</v>
          </cell>
        </row>
        <row r="791">
          <cell r="A791" t="str">
            <v>2667</v>
          </cell>
          <cell r="B791" t="str">
            <v>Importe total percibido debe ser igual a la suma de los importes percibidos por cada documento relacionado.</v>
          </cell>
        </row>
        <row r="792">
          <cell r="A792" t="str">
            <v>2668</v>
          </cell>
          <cell r="B792" t="str">
            <v>Importe total cobrado debe ser igual a la suma de los importes cobrados por cada documento relacionado.</v>
          </cell>
        </row>
        <row r="793">
          <cell r="A793" t="str">
            <v>2669</v>
          </cell>
          <cell r="B793" t="str">
            <v>El dato ingresado en TotalInvoiceAmount debe ser numérico mayor a cero</v>
          </cell>
        </row>
        <row r="794">
          <cell r="A794" t="str">
            <v>2670</v>
          </cell>
          <cell r="B794" t="str">
            <v>La razón social no corresponde al ruc informado.</v>
          </cell>
        </row>
        <row r="795">
          <cell r="A795" t="str">
            <v>2671</v>
          </cell>
          <cell r="B795" t="str">
            <v>La fecha de generación de la comunicación/resumen debe ser mayor o igual a la fecha de generación/emisión de los documentos</v>
          </cell>
        </row>
        <row r="796">
          <cell r="A796" t="str">
            <v>2672</v>
          </cell>
          <cell r="B796" t="str">
            <v>La fecha de generación del documento revertido debe ser menor o igual a la fecha actual.</v>
          </cell>
        </row>
        <row r="797">
          <cell r="A797" t="str">
            <v>2673</v>
          </cell>
          <cell r="B797" t="str">
            <v>El dato ingresado no cumple con el formato RR-fecha-correlativo.</v>
          </cell>
        </row>
        <row r="798">
          <cell r="A798" t="str">
            <v>2674</v>
          </cell>
          <cell r="B798" t="str">
            <v>El dato ingresado  no cumple con el formato de DocumentSerialID, para DocumentTypeCode con valor 20.</v>
          </cell>
        </row>
        <row r="799">
          <cell r="A799" t="str">
            <v>2675</v>
          </cell>
          <cell r="B799" t="str">
            <v>El dato ingresado  no cumple con el formato de DocumentSerialID, para DocumentTypeCode con valor 40.</v>
          </cell>
        </row>
        <row r="800">
          <cell r="A800" t="str">
            <v>2676</v>
          </cell>
          <cell r="B800" t="str">
            <v>El XML no contiene el tag o no existe información del número de RUC del emisor</v>
          </cell>
        </row>
        <row r="801">
          <cell r="A801" t="str">
            <v>2677</v>
          </cell>
          <cell r="B801" t="str">
            <v>El valor ingresado como número de RUC del emisor es incorrecto</v>
          </cell>
        </row>
        <row r="802">
          <cell r="A802" t="str">
            <v>2678</v>
          </cell>
          <cell r="B802" t="str">
            <v>El XML no contiene el atributo o no existe información del tipo de documento del emisor</v>
          </cell>
        </row>
        <row r="803">
          <cell r="A803" t="str">
            <v>2679</v>
          </cell>
          <cell r="B803" t="str">
            <v>El XML no contiene el tag o no existe información del número de documento de identidad del cliente</v>
          </cell>
        </row>
        <row r="804">
          <cell r="A804" t="str">
            <v>2680</v>
          </cell>
          <cell r="B804" t="str">
            <v>El valor ingresado como documento de identidad del cliente es incorrecto</v>
          </cell>
        </row>
        <row r="805">
          <cell r="A805" t="str">
            <v>2681</v>
          </cell>
          <cell r="B805" t="str">
            <v>El XML no contiene el atributo o no existe información del tipo de documento del cliente</v>
          </cell>
        </row>
        <row r="806">
          <cell r="A806" t="str">
            <v>2682</v>
          </cell>
          <cell r="B806" t="str">
            <v>El valor ingresado como tipo de documento del cliente es incorrecto</v>
          </cell>
        </row>
        <row r="807">
          <cell r="A807" t="str">
            <v>2683</v>
          </cell>
          <cell r="B807" t="str">
            <v>El XML no contiene el tag o no existe información del Importe total Percibido</v>
          </cell>
        </row>
        <row r="808">
          <cell r="A808" t="str">
            <v>2684</v>
          </cell>
          <cell r="B808" t="str">
            <v>El XML no contiene el tag o no existe información de la moneda del Importe total Percibido</v>
          </cell>
        </row>
        <row r="809">
          <cell r="A809" t="str">
            <v>2685</v>
          </cell>
          <cell r="B809" t="str">
            <v>El valor de la moneda del Importe total Percibido debe ser PEN</v>
          </cell>
        </row>
        <row r="810">
          <cell r="A810" t="str">
            <v>2686</v>
          </cell>
          <cell r="B810" t="str">
            <v>El XML no contiene el tag o no existe información del Importe total Cobrado</v>
          </cell>
        </row>
        <row r="811">
          <cell r="A811" t="str">
            <v>2687</v>
          </cell>
          <cell r="B811" t="str">
            <v>El dato ingresado en SUNATTotalCashed debe ser numérico mayor a cero</v>
          </cell>
        </row>
        <row r="812">
          <cell r="A812" t="str">
            <v>2689</v>
          </cell>
          <cell r="B812" t="str">
            <v>El XML no contiene el tag o no existe información de la moneda del Importe total Cobrado</v>
          </cell>
        </row>
        <row r="813">
          <cell r="A813" t="str">
            <v>2690</v>
          </cell>
          <cell r="B813" t="str">
            <v>El valor de la moneda del Importe total Cobrado debe ser PEN</v>
          </cell>
        </row>
        <row r="814">
          <cell r="A814" t="str">
            <v>2691</v>
          </cell>
          <cell r="B814" t="str">
            <v>El XML no contiene el tag o no existe información del tipo de documento relacionado</v>
          </cell>
        </row>
        <row r="815">
          <cell r="A815" t="str">
            <v>2692</v>
          </cell>
          <cell r="B815" t="str">
            <v>El tipo de documento relacionado no es válido</v>
          </cell>
        </row>
        <row r="816">
          <cell r="A816" t="str">
            <v>2693</v>
          </cell>
          <cell r="B816" t="str">
            <v>El XML no contiene el tag o no existe información del número de documento relacionado</v>
          </cell>
        </row>
        <row r="817">
          <cell r="A817" t="str">
            <v>2694</v>
          </cell>
          <cell r="B817" t="str">
            <v>El número de documento relacionado no está permitido o no es valido</v>
          </cell>
        </row>
        <row r="818">
          <cell r="A818" t="str">
            <v>2695</v>
          </cell>
          <cell r="B818" t="str">
            <v>El XML no contiene el tag o no existe información del Importe total documento Relacionado</v>
          </cell>
        </row>
        <row r="819">
          <cell r="A819" t="str">
            <v>2696</v>
          </cell>
          <cell r="B819" t="str">
            <v>El dato ingresado en el importe total documento relacionado debe ser numérico mayor a cero</v>
          </cell>
        </row>
        <row r="820">
          <cell r="A820" t="str">
            <v>2697</v>
          </cell>
          <cell r="B820" t="str">
            <v>El XML no contiene el tag o no existe información del número de cobro</v>
          </cell>
        </row>
        <row r="821">
          <cell r="A821" t="str">
            <v>2698</v>
          </cell>
          <cell r="B821" t="str">
            <v>El dato ingresado en el número de cobro no es válido</v>
          </cell>
        </row>
        <row r="822">
          <cell r="A822" t="str">
            <v>2699</v>
          </cell>
          <cell r="B822" t="str">
            <v>El XML no contiene el tag o no existe información del Importe del cobro</v>
          </cell>
        </row>
        <row r="823">
          <cell r="A823" t="str">
            <v>2700</v>
          </cell>
          <cell r="B823" t="str">
            <v>El dato ingresado en el Importe del cobro debe ser numérico mayor a cero</v>
          </cell>
        </row>
        <row r="824">
          <cell r="A824" t="str">
            <v>2701</v>
          </cell>
          <cell r="B824" t="str">
            <v>El XML no contiene el tag o no existe información de la moneda del documento Relacionado</v>
          </cell>
        </row>
        <row r="825">
          <cell r="A825" t="str">
            <v>2702</v>
          </cell>
          <cell r="B825" t="str">
            <v>El XML no contiene el tag o no existe información de la fecha de cobro del documento Relacionado</v>
          </cell>
        </row>
        <row r="826">
          <cell r="A826" t="str">
            <v>2703</v>
          </cell>
          <cell r="B826" t="str">
            <v>La fecha de cobro del documento relacionado no es válido</v>
          </cell>
        </row>
        <row r="827">
          <cell r="A827" t="str">
            <v>2704</v>
          </cell>
          <cell r="B827" t="str">
            <v>El XML no contiene el tag o no existe información del Importe percibido</v>
          </cell>
        </row>
        <row r="828">
          <cell r="A828" t="str">
            <v>2705</v>
          </cell>
          <cell r="B828" t="str">
            <v>El dato ingresado en el Importe percibido debe ser numérico mayor a cero</v>
          </cell>
        </row>
        <row r="829">
          <cell r="A829" t="str">
            <v>2706</v>
          </cell>
          <cell r="B829" t="str">
            <v>El XML no contiene el tag o no existe información de la moneda de importe percibido</v>
          </cell>
        </row>
        <row r="830">
          <cell r="A830" t="str">
            <v>2707</v>
          </cell>
          <cell r="B830" t="str">
            <v>El valor de la moneda de importe percibido debe ser PEN</v>
          </cell>
        </row>
        <row r="831">
          <cell r="A831" t="str">
            <v>2708</v>
          </cell>
          <cell r="B831" t="str">
            <v>El XML no contiene el tag o no existe información de la Fecha de Percepción</v>
          </cell>
        </row>
        <row r="832">
          <cell r="A832" t="str">
            <v>2709</v>
          </cell>
          <cell r="B832" t="str">
            <v>La fecha de percepción no es válido</v>
          </cell>
        </row>
        <row r="833">
          <cell r="A833" t="str">
            <v>2710</v>
          </cell>
          <cell r="B833" t="str">
            <v>El XML no contiene el tag o no existe información del Monto total a cobrar</v>
          </cell>
        </row>
        <row r="834">
          <cell r="A834" t="str">
            <v>2711</v>
          </cell>
          <cell r="B834" t="str">
            <v>El dato ingresado en el Monto total a cobrar debe ser numérico mayor a cero</v>
          </cell>
        </row>
        <row r="835">
          <cell r="A835" t="str">
            <v>2712</v>
          </cell>
          <cell r="B835" t="str">
            <v>El XML no contiene el tag o no existe información de la moneda del Monto total a cobrar</v>
          </cell>
        </row>
        <row r="836">
          <cell r="A836" t="str">
            <v>2713</v>
          </cell>
          <cell r="B836" t="str">
            <v>El valor de la moneda del Monto total a cobrar debe ser PEN</v>
          </cell>
        </row>
        <row r="837">
          <cell r="A837" t="str">
            <v>2714</v>
          </cell>
          <cell r="B837" t="str">
            <v>El valor de la moneda de referencia para el tipo de cambio no es válido</v>
          </cell>
        </row>
        <row r="838">
          <cell r="A838" t="str">
            <v>2715</v>
          </cell>
          <cell r="B838" t="str">
            <v>El valor de la moneda objetivo para la Tasa de Cambio debe ser PEN</v>
          </cell>
        </row>
        <row r="839">
          <cell r="A839" t="str">
            <v>2716</v>
          </cell>
          <cell r="B839" t="str">
            <v>El dato ingresado en el tipo de cambio debe ser numérico mayor a cero</v>
          </cell>
        </row>
        <row r="840">
          <cell r="A840" t="str">
            <v>2717</v>
          </cell>
          <cell r="B840" t="str">
            <v>La fecha de cambio no es válido</v>
          </cell>
        </row>
        <row r="841">
          <cell r="A841" t="str">
            <v>2718</v>
          </cell>
          <cell r="B841" t="str">
            <v>El valor de la moneda del documento Relacionado no es válido</v>
          </cell>
        </row>
        <row r="842">
          <cell r="A842" t="str">
            <v>2719</v>
          </cell>
          <cell r="B842" t="str">
            <v>El XML no contiene el tag o no existe información de la moneda de referencia para el tipo de cambio</v>
          </cell>
        </row>
        <row r="843">
          <cell r="A843" t="str">
            <v>2720</v>
          </cell>
          <cell r="B843" t="str">
            <v>El XML no contiene el tag o no existe información de la moneda objetivo para la Tasa de Cambio</v>
          </cell>
        </row>
        <row r="844">
          <cell r="A844" t="str">
            <v>2721</v>
          </cell>
          <cell r="B844" t="str">
            <v>El XML no contiene el tag o no existe información del tipo de cambio</v>
          </cell>
        </row>
        <row r="845">
          <cell r="A845" t="str">
            <v>2722</v>
          </cell>
          <cell r="B845" t="str">
            <v>El XML no contiene el tag o no existe información de la fecha de cambio</v>
          </cell>
        </row>
        <row r="846">
          <cell r="A846" t="str">
            <v>2723</v>
          </cell>
          <cell r="B846" t="str">
            <v>El XML no contiene el tag o no existe información del número de documento de identidad del proveedor</v>
          </cell>
        </row>
        <row r="847">
          <cell r="A847" t="str">
            <v>2724</v>
          </cell>
          <cell r="B847" t="str">
            <v>El valor ingresado como documento de identidad del proveedor es incorrecto</v>
          </cell>
        </row>
        <row r="848">
          <cell r="A848" t="str">
            <v>2725</v>
          </cell>
          <cell r="B848" t="str">
            <v>El XML no contiene el tag o no existe información del Importe total Retenido</v>
          </cell>
        </row>
        <row r="849">
          <cell r="A849" t="str">
            <v>2726</v>
          </cell>
          <cell r="B849" t="str">
            <v>El XML no contiene el tag o no existe información de la moneda del Importe total Retenido</v>
          </cell>
        </row>
        <row r="850">
          <cell r="A850" t="str">
            <v>2727</v>
          </cell>
          <cell r="B850" t="str">
            <v>El XML no contiene el tag o no existe información de la moneda del Importe total Retenido</v>
          </cell>
        </row>
        <row r="851">
          <cell r="A851" t="str">
            <v>2728</v>
          </cell>
          <cell r="B851" t="str">
            <v>El valor de la moneda del Importe total Retenido debe ser PEN</v>
          </cell>
        </row>
        <row r="852">
          <cell r="A852" t="str">
            <v>2729</v>
          </cell>
          <cell r="B852" t="str">
            <v>El XML no contiene el tag o no existe información del Importe total Pagado</v>
          </cell>
        </row>
        <row r="853">
          <cell r="A853" t="str">
            <v>2730</v>
          </cell>
          <cell r="B853" t="str">
            <v>El dato ingresado en SUNATTotalPaid debe ser numérico mayor a cero</v>
          </cell>
        </row>
        <row r="854">
          <cell r="A854" t="str">
            <v>2731</v>
          </cell>
          <cell r="B854" t="str">
            <v>El XML no contiene el tag o no existe información de la moneda del Importe total Pagado</v>
          </cell>
        </row>
        <row r="855">
          <cell r="A855" t="str">
            <v>2732</v>
          </cell>
          <cell r="B855" t="str">
            <v>El valor de la moneda del Importe total Pagado debe ser PEN</v>
          </cell>
        </row>
        <row r="856">
          <cell r="A856" t="str">
            <v>2733</v>
          </cell>
          <cell r="B856" t="str">
            <v>El XML no contiene el tag o no existe información del número de pago</v>
          </cell>
        </row>
        <row r="857">
          <cell r="A857" t="str">
            <v>2734</v>
          </cell>
          <cell r="B857" t="str">
            <v>El dato ingresado en el número de pago no es válido</v>
          </cell>
        </row>
        <row r="858">
          <cell r="A858" t="str">
            <v>2735</v>
          </cell>
          <cell r="B858" t="str">
            <v>El XML no contiene el tag o no existe información del Importe del pago</v>
          </cell>
        </row>
        <row r="859">
          <cell r="A859" t="str">
            <v>2736</v>
          </cell>
          <cell r="B859" t="str">
            <v>El dato ingresado en el Importe del pago debe ser numérico mayor a cero</v>
          </cell>
        </row>
        <row r="860">
          <cell r="A860" t="str">
            <v>2737</v>
          </cell>
          <cell r="B860" t="str">
            <v>El XML no contiene el tag o no existe información de la fecha de pago del documento Relacionado</v>
          </cell>
        </row>
        <row r="861">
          <cell r="A861" t="str">
            <v>2738</v>
          </cell>
          <cell r="B861" t="str">
            <v>La fecha de pago del documento relacionado no es válido</v>
          </cell>
        </row>
        <row r="862">
          <cell r="A862" t="str">
            <v>2739</v>
          </cell>
          <cell r="B862" t="str">
            <v>El XML no contiene el tag o no existe información del Importe retenido</v>
          </cell>
        </row>
        <row r="863">
          <cell r="A863" t="str">
            <v>2740</v>
          </cell>
          <cell r="B863" t="str">
            <v>El dato ingresado en el Importe retenido debe ser numérico mayor a cero</v>
          </cell>
        </row>
        <row r="864">
          <cell r="A864" t="str">
            <v>2741</v>
          </cell>
          <cell r="B864" t="str">
            <v>El XML no contiene el tag o no existe información de la moneda de importe retenido</v>
          </cell>
        </row>
        <row r="865">
          <cell r="A865" t="str">
            <v>2742</v>
          </cell>
          <cell r="B865" t="str">
            <v>El valor de la moneda de importe retenido debe ser PEN</v>
          </cell>
        </row>
        <row r="866">
          <cell r="A866" t="str">
            <v>2743</v>
          </cell>
          <cell r="B866" t="str">
            <v>El XML no contiene el tag o no existe información de la Fecha de Retención</v>
          </cell>
        </row>
        <row r="867">
          <cell r="A867" t="str">
            <v>2744</v>
          </cell>
          <cell r="B867" t="str">
            <v>La fecha de retención no es válido</v>
          </cell>
        </row>
        <row r="868">
          <cell r="A868" t="str">
            <v>2745</v>
          </cell>
          <cell r="B868" t="str">
            <v>El XML no contiene el tag o no existe información del Importe total a pagar (neto)</v>
          </cell>
        </row>
        <row r="869">
          <cell r="A869" t="str">
            <v>2746</v>
          </cell>
          <cell r="B869" t="str">
            <v>El dato ingresado en el Importe total a pagar (neto) debe ser numérico mayor a cero</v>
          </cell>
        </row>
        <row r="870">
          <cell r="A870" t="str">
            <v>2747</v>
          </cell>
          <cell r="B870" t="str">
            <v>El XML no contiene el tag o no existe información de la Moneda del monto neto pagado</v>
          </cell>
        </row>
        <row r="871">
          <cell r="A871" t="str">
            <v>2748</v>
          </cell>
          <cell r="B871" t="str">
            <v>El valor de la Moneda del monto neto pagado debe ser PEN</v>
          </cell>
        </row>
        <row r="872">
          <cell r="A872" t="str">
            <v>2749</v>
          </cell>
          <cell r="B872" t="str">
            <v>La moneda de referencia para el tipo de cambio debe ser la misma que la del documento relacionado</v>
          </cell>
        </row>
        <row r="873">
          <cell r="A873" t="str">
            <v>2750</v>
          </cell>
          <cell r="B873" t="str">
            <v>El comprobante que desea revertir no existe.</v>
          </cell>
        </row>
        <row r="874">
          <cell r="A874" t="str">
            <v>2751</v>
          </cell>
          <cell r="B874" t="str">
            <v>El comprobante fue informado previamente en una reversión.</v>
          </cell>
        </row>
        <row r="875">
          <cell r="A875" t="str">
            <v>2752</v>
          </cell>
          <cell r="B875" t="str">
            <v>El número de ítem no puede estar duplicado.</v>
          </cell>
        </row>
        <row r="876">
          <cell r="A876" t="str">
            <v>2753</v>
          </cell>
          <cell r="B876" t="str">
            <v>No debe existir mas de una referencia en guía dada de baja.</v>
          </cell>
        </row>
        <row r="877">
          <cell r="A877" t="str">
            <v>2754</v>
          </cell>
          <cell r="B877" t="str">
            <v>El tipo de documento de la guia dada de baja es incorrecto (tipo documento = 09).</v>
          </cell>
        </row>
        <row r="878">
          <cell r="A878" t="str">
            <v>2755</v>
          </cell>
          <cell r="B878" t="str">
            <v>El tipo de documento relacionado es incorrecto (ver catalogo nro 21).</v>
          </cell>
        </row>
        <row r="879">
          <cell r="A879" t="str">
            <v>2756</v>
          </cell>
          <cell r="B879" t="str">
            <v>El numero de documento relacionado no cumple con el estandar.</v>
          </cell>
        </row>
        <row r="880">
          <cell r="A880" t="str">
            <v>2757</v>
          </cell>
          <cell r="B880" t="str">
            <v>El XML no contiene el tag o no existe información del número de documento de identidad del destinatario.</v>
          </cell>
        </row>
        <row r="881">
          <cell r="A881" t="str">
            <v>2758</v>
          </cell>
          <cell r="B881" t="str">
            <v>El valor ingresado como numero de documento de identidad del destinatario no cumple con el estandar.</v>
          </cell>
        </row>
        <row r="882">
          <cell r="A882" t="str">
            <v>2759</v>
          </cell>
          <cell r="B882" t="str">
            <v>El XML no contiene el atributo o no existe información del tipo de documento del destinatario.</v>
          </cell>
        </row>
        <row r="883">
          <cell r="A883" t="str">
            <v>2760</v>
          </cell>
          <cell r="B883" t="str">
            <v>El valor ingresado como tipo de documento del destinatario es incorrecto.</v>
          </cell>
        </row>
        <row r="884">
          <cell r="A884" t="str">
            <v>2761</v>
          </cell>
          <cell r="B884" t="str">
            <v>El XML no contiene el atributo o no existe información del nombre o razon social del destinatario.</v>
          </cell>
        </row>
        <row r="885">
          <cell r="A885" t="str">
            <v>2762</v>
          </cell>
          <cell r="B885" t="str">
            <v>El valor ingresado como tipo de documento del nombre o razon social del destinatario es incorrecto.</v>
          </cell>
        </row>
        <row r="886">
          <cell r="A886" t="str">
            <v>2763</v>
          </cell>
          <cell r="B886" t="str">
            <v>El XML no contiene el tag o no existe información del número de documento de identidad del tercero relacionado.</v>
          </cell>
        </row>
        <row r="887">
          <cell r="A887" t="str">
            <v>2764</v>
          </cell>
          <cell r="B887" t="str">
            <v>El valor ingresado como numero de documento de identidad del tercero relacionado no cumple con el estandar.</v>
          </cell>
        </row>
        <row r="888">
          <cell r="A888" t="str">
            <v>2765</v>
          </cell>
          <cell r="B888" t="str">
            <v>El XML no contiene el atributo o no existe información del tipo de documento del tercero relacionado.</v>
          </cell>
        </row>
        <row r="889">
          <cell r="A889" t="str">
            <v>2766</v>
          </cell>
          <cell r="B889" t="str">
            <v>El valor ingresado como tipo de documento del tercero relacionado es incorrecto.</v>
          </cell>
        </row>
        <row r="890">
          <cell r="A890" t="str">
            <v>2767</v>
          </cell>
          <cell r="B890" t="str">
            <v>Para exportación, el XML no contiene el tag o no existe informacion del numero de DAM.</v>
          </cell>
        </row>
        <row r="891">
          <cell r="A891" t="str">
            <v>2768</v>
          </cell>
          <cell r="B891" t="str">
            <v>Para importación, el XML no contiene el tag o no existe informacion del numero de manifiesto de carga o numero de DAM.</v>
          </cell>
        </row>
        <row r="892">
          <cell r="A892" t="str">
            <v>2769</v>
          </cell>
          <cell r="B892" t="str">
            <v>El valor ingresado como numero de DAM no cumple con el estandar.</v>
          </cell>
        </row>
        <row r="893">
          <cell r="A893" t="str">
            <v>2770</v>
          </cell>
          <cell r="B893" t="str">
            <v>El valor ingresado como numero de manifiesto de carga no cumple con el estandar.</v>
          </cell>
        </row>
        <row r="894">
          <cell r="A894" t="str">
            <v>2771</v>
          </cell>
          <cell r="B894" t="str">
            <v>El XML no contiene el atributo o no existe informacion en numero de bultos o pallets obligatorio para importación.</v>
          </cell>
        </row>
        <row r="895">
          <cell r="A895" t="str">
            <v>2772</v>
          </cell>
          <cell r="B895" t="str">
            <v>El valor ingresado como numero de bultos o pallets no cumple con el estandar.</v>
          </cell>
        </row>
        <row r="896">
          <cell r="A896" t="str">
            <v>2773</v>
          </cell>
          <cell r="B896" t="str">
            <v>El valor ingresado como modalidad de transporte no es correcto.</v>
          </cell>
        </row>
        <row r="897">
          <cell r="A897" t="str">
            <v>2774</v>
          </cell>
          <cell r="B897" t="str">
            <v>El XML contiene datos de vehiculo o datos de conductores para una operación de transporte publico completo.</v>
          </cell>
        </row>
        <row r="898">
          <cell r="A898" t="str">
            <v>2775</v>
          </cell>
          <cell r="B898" t="str">
            <v>El XML no contiene el atributo o no existe informacion del codigo de ubigeo.</v>
          </cell>
        </row>
        <row r="899">
          <cell r="A899" t="str">
            <v>2776</v>
          </cell>
          <cell r="B899" t="str">
            <v>El valor ingresado como codigo de ubigeo no cumple con el estandar.</v>
          </cell>
        </row>
        <row r="900">
          <cell r="A900" t="str">
            <v>2777</v>
          </cell>
          <cell r="B900" t="str">
            <v>El XML no contiene el atributo o no existe informacion de direccion completa y detallada.</v>
          </cell>
        </row>
        <row r="901">
          <cell r="A901" t="str">
            <v>2778</v>
          </cell>
          <cell r="B901" t="str">
            <v>El valor ingresado como direccion completa y detallada no cumple con el estandar.</v>
          </cell>
        </row>
        <row r="902">
          <cell r="A902" t="str">
            <v>2779</v>
          </cell>
          <cell r="B902" t="str">
            <v>El XML no contiene el atributo o no existe informacion de cantida de items</v>
          </cell>
        </row>
        <row r="903">
          <cell r="A903" t="str">
            <v>2780</v>
          </cell>
          <cell r="B903" t="str">
            <v>El valor ingresado en cantidad de items no cumple con el estandar</v>
          </cell>
        </row>
        <row r="904">
          <cell r="A904" t="str">
            <v>2781</v>
          </cell>
          <cell r="B904" t="str">
            <v>El XML no contiene el atributo o no existe informacion de descripcion del items</v>
          </cell>
        </row>
        <row r="905">
          <cell r="A905" t="str">
            <v>2782</v>
          </cell>
          <cell r="B905" t="str">
            <v>El valor ingresado en descripcion del items no cumple con el estandar</v>
          </cell>
        </row>
        <row r="906">
          <cell r="A906" t="str">
            <v>2783</v>
          </cell>
          <cell r="B906" t="str">
            <v>El valor ingresado en codigo del item no cumple con el estandar.</v>
          </cell>
        </row>
        <row r="907">
          <cell r="A907" t="str">
            <v>2784</v>
          </cell>
          <cell r="B907" t="str">
            <v>Debe consignar codigo de regimen de percepcion (sac:AdditionalMonetaryTotal/cbc:ID@schemeID).</v>
          </cell>
        </row>
        <row r="908">
          <cell r="A908" t="str">
            <v>2785</v>
          </cell>
          <cell r="B908" t="str">
            <v>sac:ReferenceAmount es obligatorio y mayor a cero cuando sac:AdditionalMonetaryTotal/cbc:ID es 2001</v>
          </cell>
        </row>
        <row r="909">
          <cell r="A909" t="str">
            <v>2786</v>
          </cell>
          <cell r="B909" t="str">
            <v>El dato ingresado en sac:ReferenceAmount no cumple con el formato establecido</v>
          </cell>
        </row>
        <row r="910">
          <cell r="A910" t="str">
            <v>2787</v>
          </cell>
          <cell r="B910" t="str">
            <v>Debe consignar la moneda para la Base imponible percepcion.</v>
          </cell>
        </row>
        <row r="911">
          <cell r="A911" t="str">
            <v>2788</v>
          </cell>
          <cell r="B911" t="str">
            <v>El dato ingresado en moneda debe ser PEN</v>
          </cell>
        </row>
        <row r="912">
          <cell r="A912" t="str">
            <v>2789</v>
          </cell>
          <cell r="B912" t="str">
            <v>cbc:PayableAmount es obligatorio y mayor a cero cuando sac:AdditionalMonetaryTotal/cbc:ID es 2001</v>
          </cell>
        </row>
        <row r="913">
          <cell r="A913" t="str">
            <v>2790</v>
          </cell>
          <cell r="B913" t="str">
            <v>El dato ingresado en cbc:PayableAmount no cumple con el formato establecido</v>
          </cell>
        </row>
        <row r="914">
          <cell r="A914" t="str">
            <v>2791</v>
          </cell>
          <cell r="B914" t="str">
            <v>Debe consignar la moneda para el Monto de la percepcion (cbc:PayableAmount/@currencyID)</v>
          </cell>
        </row>
        <row r="915">
          <cell r="A915" t="str">
            <v>2792</v>
          </cell>
          <cell r="B915" t="str">
            <v>El dato ingresado en moneda del monto de cargo/descuento para percepcion debe ser PEN</v>
          </cell>
        </row>
        <row r="916">
          <cell r="A916" t="str">
            <v>2793</v>
          </cell>
          <cell r="B916" t="str">
            <v>sac:TotalAmount es obligatorio y mayor a cero cuando sac:AdditionalMonetaryTotal/cbc:ID es 2001</v>
          </cell>
        </row>
        <row r="917">
          <cell r="A917" t="str">
            <v>2794</v>
          </cell>
          <cell r="B917" t="str">
            <v>El dato ingresado en sac:TotalAmount no cumple con el formato establecido</v>
          </cell>
        </row>
        <row r="918">
          <cell r="A918" t="str">
            <v>2795</v>
          </cell>
          <cell r="B918" t="str">
            <v>Debe consignar la moneda para el Monto Total incluido la percepcion (sac:TotalAmount/@currencyID)</v>
          </cell>
        </row>
        <row r="919">
          <cell r="A919" t="str">
            <v>2796</v>
          </cell>
          <cell r="B919" t="str">
            <v>El dato ingresado en sac:TotalAmount/@currencyID debe ser PEN</v>
          </cell>
        </row>
        <row r="920">
          <cell r="A920" t="str">
            <v>2797</v>
          </cell>
          <cell r="B920" t="str">
            <v>El Monto de percepcion no puede ser mayor al importe total del comprobante.</v>
          </cell>
        </row>
        <row r="921">
          <cell r="A921" t="str">
            <v>2798</v>
          </cell>
          <cell r="B921" t="str">
            <v>El Monto de percepcion no tiene el valor correcto según el tipo de percepcion.</v>
          </cell>
        </row>
        <row r="922">
          <cell r="A922" t="str">
            <v>2799</v>
          </cell>
          <cell r="B922" t="str">
            <v>sac:TotalAmount no tiene el valor correcto cuando sac:AdditionalMonetaryTotal/cbc:ID es 2001</v>
          </cell>
        </row>
        <row r="923">
          <cell r="A923" t="str">
            <v>2800</v>
          </cell>
          <cell r="B923" t="str">
            <v>El dato ingresado en el tipo de documento de identidad del receptor no esta permitido.</v>
          </cell>
        </row>
        <row r="924">
          <cell r="A924" t="str">
            <v>2801</v>
          </cell>
          <cell r="B924" t="str">
            <v>El DNI ingresado no cumple con el estandar.</v>
          </cell>
        </row>
        <row r="925">
          <cell r="A925" t="str">
            <v>2802</v>
          </cell>
          <cell r="B925" t="str">
            <v>El dato ingresado como numero de documento de identidad del receptor no cumple con el formato establecido</v>
          </cell>
        </row>
        <row r="926">
          <cell r="A926" t="str">
            <v>2803</v>
          </cell>
          <cell r="B926" t="str">
            <v>ID - No cumple con el formato UUID</v>
          </cell>
        </row>
        <row r="927">
          <cell r="A927" t="str">
            <v>2804</v>
          </cell>
          <cell r="B927" t="str">
            <v>La fecha de recepcion del comprobante por OSE, no debe de ser mayor a la fecha de recepcion de SUNAT</v>
          </cell>
        </row>
        <row r="928">
          <cell r="A928" t="str">
            <v>2805</v>
          </cell>
          <cell r="B928" t="str">
            <v>El XML no contiene el tag IssueTime</v>
          </cell>
        </row>
        <row r="929">
          <cell r="A929" t="str">
            <v>2806</v>
          </cell>
          <cell r="B929" t="str">
            <v>IssueTime - El dato ingresado  no cumple con el patrón hh:mm:ss.sssss</v>
          </cell>
        </row>
        <row r="930">
          <cell r="A930" t="str">
            <v>2807</v>
          </cell>
          <cell r="B930" t="str">
            <v>El XML no contiene el tag ResponseDate</v>
          </cell>
        </row>
        <row r="931">
          <cell r="A931" t="str">
            <v>2808</v>
          </cell>
          <cell r="B931" t="str">
            <v>ResponseDate - El dato ingresado  no cumple con el patrón YYYY-MM-DD</v>
          </cell>
        </row>
        <row r="932">
          <cell r="A932" t="str">
            <v>2809</v>
          </cell>
          <cell r="B932" t="str">
            <v>La fecha de recepcion del comprobante por OSE, no debe de ser mayor a la fecha de comprobacion del OSE</v>
          </cell>
        </row>
        <row r="933">
          <cell r="A933" t="str">
            <v>2810</v>
          </cell>
          <cell r="B933" t="str">
            <v>La fecha de comprobacion del comprobante en OSE no puede ser mayor a la fecha de recepcion en SUNAT</v>
          </cell>
        </row>
        <row r="934">
          <cell r="A934" t="str">
            <v>2811</v>
          </cell>
          <cell r="B934" t="str">
            <v>El XML no contiene el tag ResponseTime</v>
          </cell>
        </row>
        <row r="935">
          <cell r="A935" t="str">
            <v>2812</v>
          </cell>
          <cell r="B935" t="str">
            <v>ResponseTime - El dato ingresado  no cumple con el patrón hh:mm:ss.sssss</v>
          </cell>
        </row>
        <row r="936">
          <cell r="A936" t="str">
            <v>2813</v>
          </cell>
          <cell r="B936" t="str">
            <v>El XML no contiene el tag o no existe información del Número de documento de identificación del que envía el CPE (emisor o PSE)</v>
          </cell>
        </row>
        <row r="937">
          <cell r="A937" t="str">
            <v>2814</v>
          </cell>
          <cell r="B937" t="str">
            <v>El valor ingresado como Número de documento de identificación del que envía el CPE (emisor o PSE) es incorrecto</v>
          </cell>
        </row>
        <row r="938">
          <cell r="A938" t="str">
            <v>2816</v>
          </cell>
          <cell r="B938" t="str">
            <v>El XML no contiene el atributo schemeID o no existe información del Tipo de documento de identidad del que envía el CPE (emisor o PSE)</v>
          </cell>
        </row>
        <row r="939">
          <cell r="A939" t="str">
            <v>2817</v>
          </cell>
          <cell r="B939" t="str">
            <v>El valor ingresado como Tipo de documento de identidad del que envía el CPE (emisor o PSE) es incorrecto</v>
          </cell>
        </row>
        <row r="940">
          <cell r="A940" t="str">
            <v>2818</v>
          </cell>
          <cell r="B940" t="str">
            <v>El XML no contiene el atributo schemeAgencyName o no existe información del Tipo de documento de identidad del que envía el CPE (emisor o PSE)</v>
          </cell>
        </row>
        <row r="941">
          <cell r="A941" t="str">
            <v>2819</v>
          </cell>
          <cell r="B941" t="str">
            <v>El valor ingresado en el atributo schemeAgencyName del Tipo de documento de identidad del que envía el CPE (emisor o PSE) es incorrecto</v>
          </cell>
        </row>
        <row r="942">
          <cell r="A942" t="str">
            <v>2820</v>
          </cell>
          <cell r="B942" t="str">
            <v>El XML no contiene el atributo schemeURI o no existe información del Tipo de documento de identidad del que envía el CPE (emisor o PSE)</v>
          </cell>
        </row>
        <row r="943">
          <cell r="A943" t="str">
            <v>2821</v>
          </cell>
          <cell r="B943" t="str">
            <v>El valor ingresado en el atributo schemeURI del Tipo de documento de identidad del que envía el CPE (emisor o PSE) es incorrecto</v>
          </cell>
        </row>
        <row r="944">
          <cell r="A944" t="str">
            <v>2822</v>
          </cell>
          <cell r="B944" t="str">
            <v>El XML no contiene el tag o no existe información del Número de documento de identificación del OSE</v>
          </cell>
        </row>
        <row r="945">
          <cell r="A945" t="str">
            <v>2823</v>
          </cell>
          <cell r="B945" t="str">
            <v>El valor ingresado como Número de documento de identificación del OSE es incorrecto</v>
          </cell>
        </row>
        <row r="946">
          <cell r="A946" t="str">
            <v>2824</v>
          </cell>
          <cell r="B946" t="str">
            <v>El certificado digital con el que se firma el CDR OSE no corresponde con el RUC del OSE informado</v>
          </cell>
        </row>
        <row r="947">
          <cell r="A947" t="str">
            <v>2825</v>
          </cell>
          <cell r="B947" t="str">
            <v>El Número de documento de identificación del OSE informado no esta registrado en el padron.</v>
          </cell>
        </row>
        <row r="948">
          <cell r="A948" t="str">
            <v>2826</v>
          </cell>
          <cell r="B948" t="str">
            <v>El XML no contiene el atributo schemeID o no existe información del Tipo de documento de identidad del OSE</v>
          </cell>
        </row>
        <row r="949">
          <cell r="A949" t="str">
            <v>2827</v>
          </cell>
          <cell r="B949" t="str">
            <v>El valor ingresado como Tipo de documento de identidad del OSE es incorrecto</v>
          </cell>
        </row>
        <row r="950">
          <cell r="A950" t="str">
            <v>2828</v>
          </cell>
          <cell r="B950" t="str">
            <v>El XML no contiene el atributo schemeAgencyName o no existe información del Tipo de documento de identidad del OSE</v>
          </cell>
        </row>
        <row r="951">
          <cell r="A951" t="str">
            <v>2829</v>
          </cell>
          <cell r="B951" t="str">
            <v>El valor ingresado en el atributo schemeAgencyName del Tipo de documento de identidad del OSE es incorrecto</v>
          </cell>
        </row>
        <row r="952">
          <cell r="A952" t="str">
            <v>2830</v>
          </cell>
          <cell r="B952" t="str">
            <v>El XML no contiene el atributo schemeURI o no existe información del Tipo de documento de identidad del OSE</v>
          </cell>
        </row>
        <row r="953">
          <cell r="A953" t="str">
            <v>2831</v>
          </cell>
          <cell r="B953" t="str">
            <v>El valor ingresado en el atributo schemeURI del Tipo de documento de identidad del OSE es incorrecto</v>
          </cell>
        </row>
        <row r="954">
          <cell r="A954" t="str">
            <v>2832</v>
          </cell>
          <cell r="B954" t="str">
            <v>El XML no contiene el tag o no existe información del Código de Respuesta</v>
          </cell>
        </row>
        <row r="955">
          <cell r="A955" t="str">
            <v>2833</v>
          </cell>
          <cell r="B955" t="str">
            <v>El valor ingresado como Código de Respuesta es incorrecto</v>
          </cell>
        </row>
        <row r="956">
          <cell r="A956" t="str">
            <v>2834</v>
          </cell>
          <cell r="B956" t="str">
            <v>El XML no contiene el atributo listAgencyName o no existe información del Código de Respuesta</v>
          </cell>
        </row>
        <row r="957">
          <cell r="A957" t="str">
            <v>2835</v>
          </cell>
          <cell r="B957" t="str">
            <v>El valor ingresado en el atributo listAgencyName del Código de Respuesta es incorrecto</v>
          </cell>
        </row>
        <row r="958">
          <cell r="A958" t="str">
            <v>2836</v>
          </cell>
          <cell r="B958" t="str">
            <v>El XML no contiene el tag o no existe información de la Descripción de la Respuesta</v>
          </cell>
        </row>
        <row r="959">
          <cell r="A959" t="str">
            <v>2837</v>
          </cell>
          <cell r="B959" t="str">
            <v>El valor ingresado como Descripción de la Respuesta es incorrecto</v>
          </cell>
        </row>
        <row r="960">
          <cell r="A960" t="str">
            <v>2838</v>
          </cell>
          <cell r="B960" t="str">
            <v>El valor ingresado como Código de observación es incorrecto</v>
          </cell>
        </row>
        <row r="961">
          <cell r="A961" t="str">
            <v>2839</v>
          </cell>
          <cell r="B961" t="str">
            <v>El XML no contiene el atributo listURI o no existe información del Código de observación</v>
          </cell>
        </row>
        <row r="962">
          <cell r="A962" t="str">
            <v>2840</v>
          </cell>
          <cell r="B962" t="str">
            <v>El valor ingresado en el atributo listURI del Código de observación es incorrecto</v>
          </cell>
        </row>
        <row r="963">
          <cell r="A963" t="str">
            <v>2841</v>
          </cell>
          <cell r="B963" t="str">
            <v>El XML no contiene el tag o no existe información de la Descripción de la observación</v>
          </cell>
        </row>
        <row r="964">
          <cell r="A964" t="str">
            <v>2842</v>
          </cell>
          <cell r="B964" t="str">
            <v>El valor ingresado como Descripción de la observación es incorrecto</v>
          </cell>
        </row>
        <row r="965">
          <cell r="A965" t="str">
            <v>2843</v>
          </cell>
          <cell r="B965" t="str">
            <v>Se ha encontrado mas de una Descripción de la observación, tag cac:Response/cac:Status/cbc:StatusReason</v>
          </cell>
        </row>
        <row r="966">
          <cell r="A966" t="str">
            <v>2844</v>
          </cell>
          <cell r="B966" t="str">
            <v>No se encontro el tag cbc:StatusReasonCode cuando ingresó la Descripción de la observación</v>
          </cell>
        </row>
        <row r="967">
          <cell r="A967" t="str">
            <v>2845</v>
          </cell>
          <cell r="B967" t="str">
            <v>El XML contiene mas de un elemento cac:DocumentReference</v>
          </cell>
        </row>
        <row r="968">
          <cell r="A968" t="str">
            <v>2846</v>
          </cell>
          <cell r="B968" t="str">
            <v>El XML no contiene informacion en el tag cac:DocumentReference/cbc:ID</v>
          </cell>
        </row>
        <row r="969">
          <cell r="A969" t="str">
            <v>2848</v>
          </cell>
          <cell r="B969" t="str">
            <v>El valor ingresado como Serie y número del comprobante no corresponde con el del comprobante</v>
          </cell>
        </row>
        <row r="970">
          <cell r="A970" t="str">
            <v>2849</v>
          </cell>
          <cell r="B970" t="str">
            <v>El XML no contiene el tag o no existe información de la Fecha de emisión del comprobante</v>
          </cell>
        </row>
        <row r="971">
          <cell r="A971" t="str">
            <v>2851</v>
          </cell>
          <cell r="B971" t="str">
            <v>El valor ingresado como Fecha de emisión del comprobante no corresponde con el del comprobante</v>
          </cell>
        </row>
        <row r="972">
          <cell r="A972" t="str">
            <v>2852</v>
          </cell>
          <cell r="B972" t="str">
            <v>El XML no contiene el tag o no existe información de la Hora de emisión del comprobante</v>
          </cell>
        </row>
        <row r="973">
          <cell r="A973" t="str">
            <v>2853</v>
          </cell>
          <cell r="B973" t="str">
            <v>El valor ingresado como Hora de emisión del comprobante no cumple con el patrón hh:mm:ss.sssss</v>
          </cell>
        </row>
        <row r="974">
          <cell r="A974" t="str">
            <v>2854</v>
          </cell>
          <cell r="B974" t="str">
            <v>El valor ingresado como Hora de emisión del comprobante no corresponde con el del comprobante</v>
          </cell>
        </row>
        <row r="975">
          <cell r="A975" t="str">
            <v>2855</v>
          </cell>
          <cell r="B975" t="str">
            <v>El XML no contiene el tag o no existe información del Tipo de comprobante</v>
          </cell>
        </row>
        <row r="976">
          <cell r="A976" t="str">
            <v>2856</v>
          </cell>
          <cell r="B976" t="str">
            <v>El valor ingresado como Tipo de comprobante es incorrecto</v>
          </cell>
        </row>
        <row r="977">
          <cell r="A977" t="str">
            <v>2857</v>
          </cell>
          <cell r="B977" t="str">
            <v>El valor ingresado como Tipo de comprobante no corresponde con el del comprobante</v>
          </cell>
        </row>
        <row r="978">
          <cell r="A978" t="str">
            <v>2858</v>
          </cell>
          <cell r="B978" t="str">
            <v>El XML no contiene el tag o no existe información del Hash del comprobante</v>
          </cell>
        </row>
        <row r="979">
          <cell r="A979" t="str">
            <v>2859</v>
          </cell>
          <cell r="B979" t="str">
            <v>El valor ingresado como Hash del comprobante es incorrecto</v>
          </cell>
        </row>
        <row r="980">
          <cell r="A980" t="str">
            <v>2860</v>
          </cell>
          <cell r="B980" t="str">
            <v>El valor ingresado como Hash del comprobante no corresponde con el del comprobante</v>
          </cell>
        </row>
        <row r="981">
          <cell r="A981" t="str">
            <v>2861</v>
          </cell>
          <cell r="B981" t="str">
            <v>El XML no contiene el tag o no existe información del Número de documento de identificación del emisor</v>
          </cell>
        </row>
        <row r="982">
          <cell r="A982" t="str">
            <v>2862</v>
          </cell>
          <cell r="B982" t="str">
            <v>El valor ingresado como Número de documento de identificación del emisor es incorrecto</v>
          </cell>
        </row>
        <row r="983">
          <cell r="A983" t="str">
            <v>2863</v>
          </cell>
          <cell r="B983" t="str">
            <v>El valor ingresado como Número de documento de identificación del emisor no corresponde con el del comprobante</v>
          </cell>
        </row>
        <row r="984">
          <cell r="A984" t="str">
            <v>2864</v>
          </cell>
          <cell r="B984" t="str">
            <v>El XML no contiene el atributo o no existe información del Tipo de documento de identidad del emisor</v>
          </cell>
        </row>
        <row r="985">
          <cell r="A985" t="str">
            <v>2865</v>
          </cell>
          <cell r="B985" t="str">
            <v>El valor ingresado como Tipo de documento de identidad del emisor es incorrecto</v>
          </cell>
        </row>
        <row r="986">
          <cell r="A986" t="str">
            <v>2866</v>
          </cell>
          <cell r="B986" t="str">
            <v>El valor ingresado como Tipo de documento de identidad del emisor no corresponde con el del comprobante</v>
          </cell>
        </row>
        <row r="987">
          <cell r="A987" t="str">
            <v>2867</v>
          </cell>
          <cell r="B987" t="str">
            <v>El XML no contiene el tag o no existe información del Número de documento de identificación del receptor</v>
          </cell>
        </row>
        <row r="988">
          <cell r="A988" t="str">
            <v>2868</v>
          </cell>
          <cell r="B988" t="str">
            <v>El valor ingresado como Número de documento de identificación del receptor es incorrecto</v>
          </cell>
        </row>
        <row r="989">
          <cell r="A989" t="str">
            <v>2869</v>
          </cell>
          <cell r="B989" t="str">
            <v>El valor ingresado como Número de documento de identificación del receptor no corresponde con el del comprobante</v>
          </cell>
        </row>
        <row r="990">
          <cell r="A990" t="str">
            <v>2870</v>
          </cell>
          <cell r="B990" t="str">
            <v>El XML no contiene el atributo o no existe información del Tipo de documento de identidad del receptor</v>
          </cell>
        </row>
        <row r="991">
          <cell r="A991" t="str">
            <v>2871</v>
          </cell>
          <cell r="B991" t="str">
            <v>El valor ingresado como Tipo de documento de identidad del receptor es incorrecto</v>
          </cell>
        </row>
        <row r="992">
          <cell r="A992" t="str">
            <v>2872</v>
          </cell>
          <cell r="B992" t="str">
            <v>El valor ingresado como Tipo de documento de identidad del receptor no corresponde con el del comprobante</v>
          </cell>
        </row>
        <row r="993">
          <cell r="A993" t="str">
            <v>2873</v>
          </cell>
          <cell r="B993" t="str">
            <v>El PSE informado no se encuentra vinculado con el  emisor del comprobante en la fecha de comprobación</v>
          </cell>
        </row>
        <row r="994">
          <cell r="A994" t="str">
            <v>2874</v>
          </cell>
          <cell r="B994" t="str">
            <v>El Número de documento de identificación del OSE informado no se encuentra vinculado al emisor del comprobante en la fecha de recepcion en SUNAT</v>
          </cell>
        </row>
        <row r="995">
          <cell r="A995" t="str">
            <v>2875</v>
          </cell>
          <cell r="B995" t="str">
            <v>ID - El dato ingresado no cumple con el formato R#-fecha-correlativo</v>
          </cell>
        </row>
        <row r="996">
          <cell r="A996" t="str">
            <v>2876</v>
          </cell>
          <cell r="B996" t="str">
            <v>La fecha de recepción del comprobante por OSE debe ser mayor a la fecha de emisión del comprobante enviado</v>
          </cell>
        </row>
        <row r="997">
          <cell r="A997" t="str">
            <v>2880</v>
          </cell>
          <cell r="B997" t="str">
            <v>Es obligatorio ingresar el peso bruto total de la guía</v>
          </cell>
        </row>
        <row r="998">
          <cell r="A998" t="str">
            <v>2881</v>
          </cell>
          <cell r="B998" t="str">
            <v>Es obligatorio indicar la unidad de medida del Peso Total de la guía</v>
          </cell>
        </row>
        <row r="999">
          <cell r="A999" t="str">
            <v>2883</v>
          </cell>
          <cell r="B999" t="str">
            <v>Es obligatorio indicar la unidad de medida del ítem</v>
          </cell>
        </row>
        <row r="1000">
          <cell r="A1000" t="str">
            <v>2884</v>
          </cell>
          <cell r="B1000" t="str">
            <v>Los comprobantes modificados por la nota deben ser del mismo tipo</v>
          </cell>
        </row>
        <row r="1001">
          <cell r="A1001" t="str">
            <v>2885</v>
          </cell>
          <cell r="B1001" t="str">
            <v>La fecha de emisión de la nota debe ser mayor o igual a la fecha de emisión de los documentos que modifica</v>
          </cell>
        </row>
        <row r="1002">
          <cell r="A1002" t="str">
            <v>2891</v>
          </cell>
          <cell r="B1002" t="str">
            <v>La tasa de percepción no existe en el catálogo</v>
          </cell>
        </row>
        <row r="1003">
          <cell r="A1003" t="str">
            <v>2892</v>
          </cell>
          <cell r="B1003" t="str">
            <v>El valor del tag no cumple con el formato establecido</v>
          </cell>
        </row>
        <row r="1004">
          <cell r="A1004" t="str">
            <v>2893</v>
          </cell>
          <cell r="B1004" t="str">
            <v>El valor no cumple con el formato establecido o es menor o igual a cero (0)</v>
          </cell>
        </row>
        <row r="1005">
          <cell r="A1005" t="str">
            <v>2894</v>
          </cell>
          <cell r="B1005" t="str">
            <v>El valor del tag no cumple con el formato establecido</v>
          </cell>
        </row>
        <row r="1006">
          <cell r="A1006" t="str">
            <v>2895</v>
          </cell>
          <cell r="B1006" t="str">
            <v>El valor no cumple con el formato establecido o es menor o igual a cero (0)</v>
          </cell>
        </row>
        <row r="1007">
          <cell r="A1007" t="str">
            <v>2896</v>
          </cell>
          <cell r="B1007" t="str">
            <v>El código ingresado como estado del ítem no existe en el catálogo</v>
          </cell>
        </row>
        <row r="1008">
          <cell r="A1008" t="str">
            <v>2897</v>
          </cell>
          <cell r="B1008" t="str">
            <v>El valor no cumple con el formato establecido o es menor o igual a cero (0)</v>
          </cell>
        </row>
        <row r="1009">
          <cell r="A1009" t="str">
            <v>2898</v>
          </cell>
          <cell r="B1009" t="str">
            <v>Para los tipos de seguro 1 y 2, debe consignar el numero de poliza, la fecha de cobertura y el monto asegurado</v>
          </cell>
        </row>
        <row r="1010">
          <cell r="A1010" t="str">
            <v>2899</v>
          </cell>
          <cell r="B1010" t="str">
            <v>Para el tipo de seguro 3 - Otros debe consignar el numero de poliza</v>
          </cell>
        </row>
        <row r="1011">
          <cell r="A1011" t="str">
            <v>2900</v>
          </cell>
          <cell r="B1011" t="str">
            <v>El Número de comprobante de fin de rango debe ser igual o mayor al de inicio</v>
          </cell>
        </row>
        <row r="1012">
          <cell r="A1012" t="str">
            <v>2901</v>
          </cell>
          <cell r="B1012" t="str">
            <v>El nombre comercial del emisor no cumple con el formato establecido</v>
          </cell>
        </row>
        <row r="1013">
          <cell r="A1013" t="str">
            <v>2902</v>
          </cell>
          <cell r="B1013" t="str">
            <v>La urbanización del domicilio fiscal del emisor no cumple con el formato establecido</v>
          </cell>
        </row>
        <row r="1014">
          <cell r="A1014" t="str">
            <v>2903</v>
          </cell>
          <cell r="B1014" t="str">
            <v>La provincia del domicilio fiscal del emisor no cumple con el formato establecido</v>
          </cell>
        </row>
        <row r="1015">
          <cell r="A1015" t="str">
            <v>2904</v>
          </cell>
          <cell r="B1015" t="str">
            <v>El departamento del domicilio fiscal del emisor no cumple con el formato establecido</v>
          </cell>
        </row>
        <row r="1016">
          <cell r="A1016" t="str">
            <v>2905</v>
          </cell>
          <cell r="B1016" t="str">
            <v>El distrito del domicilio fiscal del emisor no cumple con el formato establecido</v>
          </cell>
        </row>
        <row r="1017">
          <cell r="A1017" t="str">
            <v>2906</v>
          </cell>
          <cell r="B1017" t="str">
            <v>El nombre comercial del proveedor no cumple con el formato establecido</v>
          </cell>
        </row>
        <row r="1018">
          <cell r="A1018" t="str">
            <v>2907</v>
          </cell>
          <cell r="B1018" t="str">
            <v>La urbanización del domicilio fiscal del proveedor no cumple con el formato establecido</v>
          </cell>
        </row>
        <row r="1019">
          <cell r="A1019" t="str">
            <v>2908</v>
          </cell>
          <cell r="B1019" t="str">
            <v>La provincia del domicilio fiscal del proveedor no cumple con el formato establecido</v>
          </cell>
        </row>
        <row r="1020">
          <cell r="A1020" t="str">
            <v>2909</v>
          </cell>
          <cell r="B1020" t="str">
            <v>El departamento del domicilio fiscal del proveedor no cumple con el formato establecido</v>
          </cell>
        </row>
        <row r="1021">
          <cell r="A1021" t="str">
            <v>2910</v>
          </cell>
          <cell r="B1021" t="str">
            <v>El distrito del domicilio fiscal del proveedor no cumple con el formato establecido</v>
          </cell>
        </row>
        <row r="1022">
          <cell r="A1022" t="str">
            <v>2911</v>
          </cell>
          <cell r="B1022" t="str">
            <v>El nombre comercial del cliente no cumple con el formato establecido</v>
          </cell>
        </row>
        <row r="1023">
          <cell r="A1023" t="str">
            <v>2912</v>
          </cell>
          <cell r="B1023" t="str">
            <v>La urbanización del domicilio fiscal del cliente no cumple con el formato establecido</v>
          </cell>
        </row>
        <row r="1024">
          <cell r="A1024" t="str">
            <v>2913</v>
          </cell>
          <cell r="B1024" t="str">
            <v>La provincia del domicilio fiscal del cliente no cumple con el formato establecido</v>
          </cell>
        </row>
        <row r="1025">
          <cell r="A1025" t="str">
            <v>2914</v>
          </cell>
          <cell r="B1025" t="str">
            <v>El departamento del domicilio fiscal del cliente no cumple con el formato establecido</v>
          </cell>
        </row>
        <row r="1026">
          <cell r="A1026" t="str">
            <v>2915</v>
          </cell>
          <cell r="B1026" t="str">
            <v>El distrito del domicilio fiscal del cliente no cumple con el formato establecido</v>
          </cell>
        </row>
        <row r="1027">
          <cell r="A1027" t="str">
            <v>2916</v>
          </cell>
          <cell r="B1027" t="str">
            <v>La dirección completa y detallada del domicilio fiscal del emisor no cumple con el formato establecido</v>
          </cell>
        </row>
        <row r="1028">
          <cell r="A1028" t="str">
            <v>2917</v>
          </cell>
          <cell r="B1028" t="str">
            <v>Debe corresponder a algún valor válido establecido en el catálogo 13</v>
          </cell>
        </row>
        <row r="1029">
          <cell r="A1029" t="str">
            <v>2918</v>
          </cell>
          <cell r="B1029" t="str">
            <v>La dirección completa y detallada del domicilio fiscal del proveedor no cumple con el formato establecido</v>
          </cell>
        </row>
        <row r="1030">
          <cell r="A1030" t="str">
            <v>2919</v>
          </cell>
          <cell r="B1030" t="str">
            <v>La dirección completa y detallada del domicilio fiscal del cliente no cumple con el formato establecido</v>
          </cell>
        </row>
        <row r="1031">
          <cell r="A1031" t="str">
            <v>2920</v>
          </cell>
          <cell r="B1031" t="str">
            <v>Dato no cumple con formato de acuerdo al tipo de documento</v>
          </cell>
        </row>
        <row r="1032">
          <cell r="A1032" t="str">
            <v>2921</v>
          </cell>
          <cell r="B1032" t="str">
            <v>Es obligatorio informar el detalle el tipo de servicio público</v>
          </cell>
        </row>
        <row r="1033">
          <cell r="A1033" t="str">
            <v>2922</v>
          </cell>
          <cell r="B1033" t="str">
            <v>El valor del Tag no se encuentra en el catálogo</v>
          </cell>
        </row>
        <row r="1034">
          <cell r="A1034" t="str">
            <v>2923</v>
          </cell>
          <cell r="B1034" t="str">
            <v>Es obligatorio informar el código de servicios de telecomunicaciones para el tipo servicio público informado</v>
          </cell>
        </row>
        <row r="1035">
          <cell r="A1035" t="str">
            <v>2924</v>
          </cell>
          <cell r="B1035" t="str">
            <v>Sólo enviar información para el tipos de servicios públicos 5</v>
          </cell>
        </row>
        <row r="1036">
          <cell r="A1036" t="str">
            <v>2925</v>
          </cell>
          <cell r="B1036" t="str">
            <v>El valor del Tag no se encuentra en el catálogo</v>
          </cell>
        </row>
        <row r="1037">
          <cell r="A1037" t="str">
            <v>2926</v>
          </cell>
          <cell r="B1037" t="str">
            <v>Es obligatorio informar el número del suministro para el tipo servicio público informado</v>
          </cell>
        </row>
        <row r="1038">
          <cell r="A1038" t="str">
            <v>2927</v>
          </cell>
          <cell r="B1038" t="str">
            <v>Comprobante de Servicio Publico no se encuenta registrado en sunat</v>
          </cell>
        </row>
        <row r="1039">
          <cell r="A1039" t="str">
            <v>2928</v>
          </cell>
          <cell r="B1039" t="str">
            <v>El valor del Tag no cumple con el tipo y longitud esperada</v>
          </cell>
        </row>
        <row r="1040">
          <cell r="A1040" t="str">
            <v>2929</v>
          </cell>
          <cell r="B1040" t="str">
            <v>Debe remitir información del número de teléfono para el código de servicios de telecomunicaciones informado</v>
          </cell>
        </row>
        <row r="1041">
          <cell r="A1041" t="str">
            <v>2930</v>
          </cell>
          <cell r="B1041" t="str">
            <v>El tipo de documento modificado por la Nota de debito debe ser Servicio Publico electronico</v>
          </cell>
        </row>
        <row r="1042">
          <cell r="A1042" t="str">
            <v>2931</v>
          </cell>
          <cell r="B1042" t="str">
            <v>El valor del Tag no cumple con el tipo y longitud esperada</v>
          </cell>
        </row>
        <row r="1043">
          <cell r="A1043" t="str">
            <v>2932</v>
          </cell>
          <cell r="B1043" t="str">
            <v>Es obligatorio informar el código de tarifa contratada para el tipo servicio público informado</v>
          </cell>
        </row>
        <row r="1044">
          <cell r="A1044" t="str">
            <v>2933</v>
          </cell>
          <cell r="B1044" t="str">
            <v>Sólo enviar información para el tipos de servicios públicos 1 o 2</v>
          </cell>
        </row>
        <row r="1045">
          <cell r="A1045" t="str">
            <v>2934</v>
          </cell>
          <cell r="B1045" t="str">
            <v>El valor del Tag no se encuentra en el catálogo</v>
          </cell>
        </row>
        <row r="1046">
          <cell r="A1046" t="str">
            <v>2935</v>
          </cell>
          <cell r="B1046" t="str">
            <v>Es obligatorio informar la unidad de medida</v>
          </cell>
        </row>
        <row r="1047">
          <cell r="A1047" t="str">
            <v>2936</v>
          </cell>
          <cell r="B1047" t="str">
            <v>El dato ingresado como unidad de medida no corresponde al valor esperado</v>
          </cell>
        </row>
        <row r="1048">
          <cell r="A1048" t="str">
            <v>2937</v>
          </cell>
          <cell r="B1048" t="str">
            <v>Es obligatorio informar el detalle de la potencia contratada</v>
          </cell>
        </row>
        <row r="1049">
          <cell r="A1049" t="str">
            <v>2938</v>
          </cell>
          <cell r="B1049" t="str">
            <v>Sólo enviar información para el tipo de servicios público 1</v>
          </cell>
        </row>
        <row r="1050">
          <cell r="A1050" t="str">
            <v>2939</v>
          </cell>
          <cell r="B1050" t="str">
            <v>El valor del Tag no cumple con el tipo y longitud esperada</v>
          </cell>
        </row>
        <row r="1051">
          <cell r="A1051" t="str">
            <v>2940</v>
          </cell>
          <cell r="B1051" t="str">
            <v xml:space="preserve">Es obligatorio informar el tipo de medidor </v>
          </cell>
        </row>
        <row r="1052">
          <cell r="A1052" t="str">
            <v>2941</v>
          </cell>
          <cell r="B1052" t="str">
            <v>Sólo enviar información para el tipo de servicios público 1</v>
          </cell>
        </row>
        <row r="1053">
          <cell r="A1053" t="str">
            <v>2942</v>
          </cell>
          <cell r="B1053" t="str">
            <v>El valor del Tag no se encuentra en el catálogo</v>
          </cell>
        </row>
        <row r="1054">
          <cell r="A1054" t="str">
            <v>2943</v>
          </cell>
          <cell r="B1054" t="str">
            <v>Es obligatorio informar el número del medidor</v>
          </cell>
        </row>
        <row r="1055">
          <cell r="A1055" t="str">
            <v>2944</v>
          </cell>
          <cell r="B1055" t="str">
            <v>Sólo enviar información para el tipos de servicios públicos 1 o 2</v>
          </cell>
        </row>
        <row r="1056">
          <cell r="A1056" t="str">
            <v>2945</v>
          </cell>
          <cell r="B1056" t="str">
            <v>El valor del Tag no cumple con el tipo y longitud esperada</v>
          </cell>
        </row>
        <row r="1057">
          <cell r="A1057" t="str">
            <v>2946</v>
          </cell>
          <cell r="B1057" t="str">
            <v>Debe informar el consumo del periodo</v>
          </cell>
        </row>
        <row r="1058">
          <cell r="A1058" t="str">
            <v>2947</v>
          </cell>
          <cell r="B1058" t="str">
            <v>No existe el detalle del número del medidor</v>
          </cell>
        </row>
        <row r="1059">
          <cell r="A1059" t="str">
            <v>2948</v>
          </cell>
          <cell r="B1059" t="str">
            <v>Sólo enviar información para el tipos de servicios públicos 1 o 2</v>
          </cell>
        </row>
        <row r="1060">
          <cell r="A1060" t="str">
            <v>2949</v>
          </cell>
          <cell r="B1060" t="str">
            <v>El impuesto ICBPER no se encuentra vigente</v>
          </cell>
        </row>
        <row r="1061">
          <cell r="A1061" t="str">
            <v>2950</v>
          </cell>
          <cell r="B1061" t="str">
            <v>El comprobante ha sido presentado fuera de plazo</v>
          </cell>
        </row>
        <row r="1062">
          <cell r="A1062" t="str">
            <v>2951</v>
          </cell>
          <cell r="B1062" t="str">
            <v>Sólo enviar información para el tipos de servicios públicos 1 o 2</v>
          </cell>
        </row>
        <row r="1063">
          <cell r="A1063" t="str">
            <v>2952</v>
          </cell>
          <cell r="B1063" t="str">
            <v>El valor del Tag no cumple con el tipo y longitud esperada</v>
          </cell>
        </row>
        <row r="1064">
          <cell r="A1064" t="str">
            <v>2953</v>
          </cell>
          <cell r="B1064" t="str">
            <v>Es obligatorio indicar la unidad de medida del ítem</v>
          </cell>
        </row>
        <row r="1065">
          <cell r="A1065" t="str">
            <v>2954</v>
          </cell>
          <cell r="B1065" t="str">
            <v>El valor ingresado como codigo de motivo de cargo/descuento por linea no es valido (catalogo 53)</v>
          </cell>
        </row>
        <row r="1066">
          <cell r="A1066" t="str">
            <v>2955</v>
          </cell>
          <cell r="B1066" t="str">
            <v>El formato ingresado en el tag cac:InvoiceLine/cac:Allowancecharge/cbc:Amount no cumple con el formato establecido</v>
          </cell>
        </row>
        <row r="1067">
          <cell r="A1067" t="str">
            <v>2956</v>
          </cell>
          <cell r="B1067" t="str">
            <v>El Monto total de impuestos es obligatorio</v>
          </cell>
        </row>
        <row r="1068">
          <cell r="A1068" t="str">
            <v>2957</v>
          </cell>
          <cell r="B1068" t="str">
            <v>El comprobante no puede ser dado de baja por exceder el plazo desde su fecha de emision</v>
          </cell>
        </row>
        <row r="1069">
          <cell r="A1069" t="str">
            <v>2958</v>
          </cell>
          <cell r="B1069" t="str">
            <v>El comprobante no puede ser dado de baja por exceder el plazo desde su fecha de recepcion</v>
          </cell>
        </row>
        <row r="1070">
          <cell r="A1070" t="str">
            <v>2959</v>
          </cell>
          <cell r="B1070" t="str">
            <v>El valor del atributo del tag cac:TaxTotal/cac:TaxSubtotal/cac:TaxCategory/cbc:ID/ no corresponde al esperado.</v>
          </cell>
        </row>
        <row r="1071">
          <cell r="A1071" t="str">
            <v>2960</v>
          </cell>
          <cell r="B1071" t="str">
            <v>El valor del tag no corresponde al esperado.</v>
          </cell>
        </row>
        <row r="1072">
          <cell r="A1072" t="str">
            <v>2961</v>
          </cell>
          <cell r="B1072" t="str">
            <v>El valor del tag codigo de tributo internacional no corresponde al esperado.</v>
          </cell>
        </row>
        <row r="1073">
          <cell r="A1073" t="str">
            <v>2962</v>
          </cell>
          <cell r="B1073" t="str">
            <v>El valor del atributo del tag cac:TaxTotal/cac:TaxSubtotal/cac:TaxCategory/cac:TaxScheme/cbc:ID no corresponde al esperado.</v>
          </cell>
        </row>
        <row r="1074">
          <cell r="A1074" t="str">
            <v>2963</v>
          </cell>
          <cell r="B1074" t="str">
            <v>El valor del atributo del tag cac:TaxTotal/cac:TaxSubtotal/cac:TaxCategory/cbc:ID/ no corresponde al esperado.</v>
          </cell>
        </row>
        <row r="1075">
          <cell r="A1075" t="str">
            <v>2964</v>
          </cell>
          <cell r="B1075" t="str">
            <v>El valor del tag nombre del tributo no corresponde al esperado.</v>
          </cell>
        </row>
        <row r="1076">
          <cell r="A1076" t="str">
            <v>2965</v>
          </cell>
          <cell r="B1076" t="str">
            <v>La sumatoria de otros tributos no corresponde al total</v>
          </cell>
        </row>
        <row r="1077">
          <cell r="A1077" t="str">
            <v>2966</v>
          </cell>
          <cell r="B1077" t="str">
            <v>Sólo se puede indicar el códigos 55 del catálogo 53</v>
          </cell>
        </row>
        <row r="1078">
          <cell r="A1078" t="str">
            <v>2967</v>
          </cell>
          <cell r="B1078" t="str">
            <v>Los importes de otros cargos a nivel de línea no corresponden a la suma total.</v>
          </cell>
        </row>
        <row r="1079">
          <cell r="A1079" t="str">
            <v>2968</v>
          </cell>
          <cell r="B1079" t="str">
            <v xml:space="preserve">El dato ingresado en cac:AllowanceCharge/cbc:Amount no cumple con el formato establecido. </v>
          </cell>
        </row>
        <row r="1080">
          <cell r="A1080" t="str">
            <v>2969</v>
          </cell>
          <cell r="B1080" t="str">
            <v>Los importes de otros cargos a nivel de línea no corresponden a la suma total.</v>
          </cell>
        </row>
        <row r="1081">
          <cell r="A1081" t="str">
            <v>2970</v>
          </cell>
          <cell r="B1081" t="str">
            <v>El dato ingresado en sac:SUNATTotalPaidBeforeRounding debe ser numérico mayor a cero</v>
          </cell>
        </row>
        <row r="1082">
          <cell r="A1082" t="str">
            <v>2971</v>
          </cell>
          <cell r="B1082" t="str">
            <v>Si existe tag sac:SUNATTotalPaidBeforeRounding debe existir tag cbc:PayableRoundingAmount</v>
          </cell>
        </row>
        <row r="1083">
          <cell r="A1083" t="str">
            <v>2972</v>
          </cell>
          <cell r="B1083" t="str">
            <v>Importe total pagado antes de redondeo debe ser igual a la suma de los importes pagados por cada documento relacionado</v>
          </cell>
        </row>
        <row r="1084">
          <cell r="A1084" t="str">
            <v>2973</v>
          </cell>
          <cell r="B1084" t="str">
            <v>El valor de la moneda del Importe total pagado antes de redondeo debe ser PEN</v>
          </cell>
        </row>
        <row r="1085">
          <cell r="A1085" t="str">
            <v>2974</v>
          </cell>
          <cell r="B1085" t="str">
            <v>El dato ingresado en cbc:PayableRoundingAmount debe ser numérico valido</v>
          </cell>
        </row>
        <row r="1086">
          <cell r="A1086" t="str">
            <v>2975</v>
          </cell>
          <cell r="B1086" t="str">
            <v>Si existe tag cbc:PayableRoundingAmount debe existir tag sac:SUNATTotalPaidBeforeRounding</v>
          </cell>
        </row>
        <row r="1087">
          <cell r="A1087" t="str">
            <v>2976</v>
          </cell>
          <cell r="B1087" t="str">
            <v>El valor para el ajuste por redondeo no es válido</v>
          </cell>
        </row>
        <row r="1088">
          <cell r="A1088" t="str">
            <v>2977</v>
          </cell>
          <cell r="B1088" t="str">
            <v>El valor de la moneda del Ajuste por redondeo debe ser PEN</v>
          </cell>
        </row>
        <row r="1089">
          <cell r="A1089" t="str">
            <v>2978</v>
          </cell>
          <cell r="B1089" t="str">
            <v>Importe total pagado debe ser igual a la suma del Importe total pagado antes de redondeo mas el Ajuste por redondeo</v>
          </cell>
        </row>
        <row r="1090">
          <cell r="A1090" t="str">
            <v>2979</v>
          </cell>
          <cell r="B1090" t="str">
            <v>El dato ingresado en sac:SUNATTotalCashedBeforeRounding debe ser numérico mayor a cero</v>
          </cell>
        </row>
        <row r="1091">
          <cell r="A1091" t="str">
            <v>2980</v>
          </cell>
          <cell r="B1091" t="str">
            <v>Si existe tag sac:SUNATTotalCashedBeforeRounding debe existir tag cbc:PayableRoundingAmount</v>
          </cell>
        </row>
        <row r="1092">
          <cell r="A1092" t="str">
            <v>2981</v>
          </cell>
          <cell r="B1092" t="str">
            <v>Importe total cobrado antes de redondeo debe ser igual a la suma de los importes cobrados por cada documento relacionado</v>
          </cell>
        </row>
        <row r="1093">
          <cell r="A1093" t="str">
            <v>2982</v>
          </cell>
          <cell r="B1093" t="str">
            <v>El valor de la moneda del Importe total cobrado antes de redondeo debe ser PEN</v>
          </cell>
        </row>
        <row r="1094">
          <cell r="A1094" t="str">
            <v>2983</v>
          </cell>
          <cell r="B1094" t="str">
            <v>Si existe tag cbc:PayableRoundingAmount debe existir tag sac:SUNATTotalCashedBeforeRounding</v>
          </cell>
        </row>
        <row r="1095">
          <cell r="A1095" t="str">
            <v>2984</v>
          </cell>
          <cell r="B1095" t="str">
            <v>Importe total cobrado debe ser igual a la suma del Importe total cobrado antes de redondeo mas el Ajuste por redondeo</v>
          </cell>
        </row>
        <row r="1096">
          <cell r="A1096" t="str">
            <v>2985</v>
          </cell>
          <cell r="B1096" t="str">
            <v>Solo se acepta comprobantes con fecha de emisión hasta el 28/02/2014 si la tasa del comprobante de retencion 6%</v>
          </cell>
        </row>
        <row r="1097">
          <cell r="A1097" t="str">
            <v>2986</v>
          </cell>
          <cell r="B1097" t="str">
            <v>Solo se acepta informacion de percepcion para nuevas boletas.</v>
          </cell>
        </row>
        <row r="1098">
          <cell r="A1098" t="str">
            <v>2987</v>
          </cell>
          <cell r="B1098" t="str">
            <v>El comprobante ya fue informado y se encuentra anulado o rechazado.</v>
          </cell>
        </row>
        <row r="1099">
          <cell r="A1099" t="str">
            <v>2988</v>
          </cell>
          <cell r="B1099" t="str">
            <v>El comprobante (fisico) a la que hace referencia la nota, no se encuentra autorizado.</v>
          </cell>
        </row>
        <row r="1100">
          <cell r="A1100" t="str">
            <v>2989</v>
          </cell>
          <cell r="B1100" t="str">
            <v>El comprobante (electronico) a la que hace referencia la nota, no se encuentra informado.</v>
          </cell>
        </row>
        <row r="1101">
          <cell r="A1101" t="str">
            <v>2990</v>
          </cell>
          <cell r="B1101" t="str">
            <v>El comprobante (electronico) a la que hace referencia la nota, se encuentra anulado o rechazada.</v>
          </cell>
        </row>
        <row r="1102">
          <cell r="A1102" t="str">
            <v>2991</v>
          </cell>
          <cell r="B1102" t="str">
            <v>El tipo de documento modificado por la Nota de credito debe ser comprobante de servicio publico</v>
          </cell>
        </row>
        <row r="1103">
          <cell r="A1103" t="str">
            <v>2992</v>
          </cell>
          <cell r="B1103" t="str">
            <v>El XML no contiene el tag de la tasa del tributo de la línea</v>
          </cell>
        </row>
        <row r="1104">
          <cell r="A1104" t="str">
            <v>2993</v>
          </cell>
          <cell r="B1104" t="str">
            <v>El factor de afectación de IGV por linea debe ser diferente a 0.00.</v>
          </cell>
        </row>
        <row r="1105">
          <cell r="A1105" t="str">
            <v>2994</v>
          </cell>
          <cell r="B1105" t="str">
            <v>La categoría de impuesto de la línea no corresponde al valor esperado (catalogo 5)</v>
          </cell>
        </row>
        <row r="1106">
          <cell r="A1106" t="str">
            <v>2995</v>
          </cell>
          <cell r="B1106" t="str">
            <v>El XML no contiene el tag o no existe información del código internacional de tributo de la línea</v>
          </cell>
        </row>
        <row r="1107">
          <cell r="A1107" t="str">
            <v>2996</v>
          </cell>
          <cell r="B1107" t="str">
            <v>El XML no contiene el tag o no existe información del nombre de tributo de la línea</v>
          </cell>
        </row>
        <row r="1108">
          <cell r="A1108" t="str">
            <v>2997</v>
          </cell>
          <cell r="B1108" t="str">
            <v>El XML no contiene el tag o no existe información del código de tributo de la línea</v>
          </cell>
        </row>
        <row r="1109">
          <cell r="A1109" t="str">
            <v>2998</v>
          </cell>
          <cell r="B1109" t="str">
            <v>El código de tributo de la línea no corresponde al valor esperado</v>
          </cell>
        </row>
        <row r="1110">
          <cell r="A1110" t="str">
            <v>2999</v>
          </cell>
          <cell r="B1110" t="str">
            <v>El dato ingresado en el total valor de venta globales no cumple con el formato establecido</v>
          </cell>
        </row>
        <row r="1111">
          <cell r="A1111" t="str">
            <v>3000</v>
          </cell>
          <cell r="B1111" t="str">
            <v xml:space="preserve">El monto total del impuestos sobre el valor de venta de operaciones gratuitas/inafectas/exoneradas debe ser igual a 0.00 </v>
          </cell>
        </row>
        <row r="1112">
          <cell r="A1112" t="str">
            <v>3001</v>
          </cell>
          <cell r="B1112" t="str">
            <v>El Código producto de SUNAT no puede ser vacio si es de Exportacion</v>
          </cell>
        </row>
        <row r="1113">
          <cell r="A1113" t="str">
            <v>3002</v>
          </cell>
          <cell r="B1113" t="str">
            <v>El Código producto de SUNAT  no es válido</v>
          </cell>
        </row>
        <row r="1114">
          <cell r="A1114" t="str">
            <v>3003</v>
          </cell>
          <cell r="B1114" t="str">
            <v>El XML no contiene el tag o no existe información de total valor de venta globales</v>
          </cell>
        </row>
        <row r="1115">
          <cell r="A1115" t="str">
            <v>3004</v>
          </cell>
          <cell r="B1115" t="str">
            <v>El XML no contiene el tag o no existe información de la categoría de impuesto globales</v>
          </cell>
        </row>
        <row r="1116">
          <cell r="A1116" t="str">
            <v>3005</v>
          </cell>
          <cell r="B1116" t="str">
            <v>El XML no contiene el tag o no existe información del código de tributo en operaciones inafectas/exoneradas</v>
          </cell>
        </row>
        <row r="1117">
          <cell r="A1117" t="str">
            <v>3006</v>
          </cell>
          <cell r="B1117" t="str">
            <v>El dato ingresado en descripcion de leyenda no cumple con el formato establecido.</v>
          </cell>
        </row>
        <row r="1118">
          <cell r="A1118" t="str">
            <v>3007</v>
          </cell>
          <cell r="B1118" t="str">
            <v>El dato ingresado como codigo de tributo global no corresponde al valor esperado.</v>
          </cell>
        </row>
        <row r="1119">
          <cell r="A1119" t="str">
            <v>3008</v>
          </cell>
          <cell r="B1119" t="str">
            <v>La sumatoria del total valor de venta - Otros tributos de pago de línea no corresponden al total</v>
          </cell>
        </row>
        <row r="1120">
          <cell r="A1120" t="str">
            <v>3009</v>
          </cell>
          <cell r="B1120" t="str">
            <v>La sumatoria del total del importe del tributo Otros tributos de línea no corresponden al total</v>
          </cell>
        </row>
        <row r="1121">
          <cell r="A1121" t="str">
            <v>3010</v>
          </cell>
          <cell r="B1121" t="str">
            <v>El XML no contiene el tag o no existe información de total valor de venta en operaciones gravadas</v>
          </cell>
        </row>
        <row r="1122">
          <cell r="A1122" t="str">
            <v>3011</v>
          </cell>
          <cell r="B1122" t="str">
            <v>El dato ingresado en el total valor de venta en operaciones gravadas  no cumple con el formato establecido</v>
          </cell>
        </row>
        <row r="1123">
          <cell r="A1123" t="str">
            <v>3012</v>
          </cell>
          <cell r="B1123" t="str">
            <v>El dato ingresado en el importe del tributo en operaciones gravadas  no cumple con el formato establecido</v>
          </cell>
        </row>
        <row r="1124">
          <cell r="A1124" t="str">
            <v>3013</v>
          </cell>
          <cell r="B1124" t="str">
            <v>El XML no contiene el tag o no existe información de la categoría de impuesto en operaciones gravadas</v>
          </cell>
        </row>
        <row r="1125">
          <cell r="A1125" t="str">
            <v>3014</v>
          </cell>
          <cell r="B1125" t="str">
            <v>El codigo de leyenda no debe repetirse en el comprobante.</v>
          </cell>
        </row>
        <row r="1126">
          <cell r="A1126" t="str">
            <v>3015</v>
          </cell>
          <cell r="B1126" t="str">
            <v>El XML no contiene el tag o no existe información del código de tributo en operaciones gravadas</v>
          </cell>
        </row>
        <row r="1127">
          <cell r="A1127" t="str">
            <v>3016</v>
          </cell>
          <cell r="B1127" t="str">
            <v>El dato ingresado en base monto por cargo/descuento globales no cumple con el formato establecido</v>
          </cell>
        </row>
        <row r="1128">
          <cell r="A1128" t="str">
            <v>3017</v>
          </cell>
          <cell r="B1128" t="str">
            <v>El XML no contiene el tag o no existe información del nombre de tributo en operaciones gravadas</v>
          </cell>
        </row>
        <row r="1129">
          <cell r="A1129" t="str">
            <v>3018</v>
          </cell>
          <cell r="B1129" t="str">
            <v>El XML no contiene el tag o no existe información del código internacional del tributo en operaciones gravadas</v>
          </cell>
        </row>
        <row r="1130">
          <cell r="A1130" t="str">
            <v>3019</v>
          </cell>
          <cell r="B1130" t="str">
            <v>El dato ingresado en total precio de venta no cumple con el formato establecido</v>
          </cell>
        </row>
        <row r="1131">
          <cell r="A1131" t="str">
            <v>3020</v>
          </cell>
          <cell r="B1131" t="str">
            <v>El dato ingresado en el monto total de impuestos no cumple con el formato establecido</v>
          </cell>
        </row>
        <row r="1132">
          <cell r="A1132" t="str">
            <v>3021</v>
          </cell>
          <cell r="B1132" t="str">
            <v>El dato ingresado en el monto total de impuestos por línea no cumple con el formato establecido</v>
          </cell>
        </row>
        <row r="1133">
          <cell r="A1133" t="str">
            <v>3022</v>
          </cell>
          <cell r="B1133" t="str">
            <v>El importe total de impuestos por línea no coincide con la sumatoria de los impuestos por línea.</v>
          </cell>
        </row>
        <row r="1134">
          <cell r="A1134" t="str">
            <v>3023</v>
          </cell>
          <cell r="B1134" t="str">
            <v xml:space="preserve">El tipo de documento no se encuentra en el catálogo </v>
          </cell>
        </row>
        <row r="1135">
          <cell r="A1135" t="str">
            <v>3024</v>
          </cell>
          <cell r="B1135" t="str">
            <v>El tag cac:TaxTotal no debe repetirse a nivel de totales</v>
          </cell>
        </row>
        <row r="1136">
          <cell r="A1136" t="str">
            <v>3025</v>
          </cell>
          <cell r="B1136" t="str">
            <v>El dato ingresado en factor de cargo o descuento global no cumple con el formato establecido.</v>
          </cell>
        </row>
        <row r="1137">
          <cell r="A1137" t="str">
            <v>3026</v>
          </cell>
          <cell r="B1137" t="str">
            <v>El tag cac:TaxTotal no debe repetirse a nivel de Item</v>
          </cell>
        </row>
        <row r="1138">
          <cell r="A1138" t="str">
            <v>3027</v>
          </cell>
          <cell r="B1138" t="str">
            <v>El valor del atributo no se encuentra en el catálogo</v>
          </cell>
        </row>
        <row r="1139">
          <cell r="A1139" t="str">
            <v>3028</v>
          </cell>
          <cell r="B1139" t="str">
            <v>El dato ingresado en código de SW de facturación no cumple con el formato establecido.</v>
          </cell>
        </row>
        <row r="1140">
          <cell r="A1140" t="str">
            <v>3029</v>
          </cell>
          <cell r="B1140" t="str">
            <v>El XML no contiene el tag o no existe información del tipo de documento de identidad del emisor</v>
          </cell>
        </row>
        <row r="1141">
          <cell r="A1141" t="str">
            <v>3030</v>
          </cell>
          <cell r="B1141" t="str">
            <v>El XML no contiene el tag o no existe información del código de local anexo del emisor</v>
          </cell>
        </row>
        <row r="1142">
          <cell r="A1142" t="str">
            <v>3031</v>
          </cell>
          <cell r="B1142" t="str">
            <v>El dato ingresado en TaxableAmount de la linea no cumple con el formato establecido</v>
          </cell>
        </row>
        <row r="1143">
          <cell r="A1143" t="str">
            <v>3032</v>
          </cell>
          <cell r="B1143" t="str">
            <v>El XML no contiene el tag o no existe información de la categoría de impuesto de la línea</v>
          </cell>
        </row>
        <row r="1144">
          <cell r="A1144" t="str">
            <v>3033</v>
          </cell>
          <cell r="B1144" t="str">
            <v>El codigo de bien o servicio sujeto a detracción no existe en el listado.</v>
          </cell>
        </row>
        <row r="1145">
          <cell r="A1145" t="str">
            <v>3034</v>
          </cell>
          <cell r="B1145" t="str">
            <v>El xml no contiene el tag o no existe información en el nro de cuenta de detracción</v>
          </cell>
        </row>
        <row r="1146">
          <cell r="A1146" t="str">
            <v>3035</v>
          </cell>
          <cell r="B1146" t="str">
            <v>El xml no contiene el tag o no existe información en el monto de detraccion</v>
          </cell>
        </row>
        <row r="1147">
          <cell r="A1147" t="str">
            <v>3036</v>
          </cell>
          <cell r="B1147" t="str">
            <v>El XML no contiene el tag o no existe información del nombre del tributo</v>
          </cell>
        </row>
        <row r="1148">
          <cell r="A1148" t="str">
            <v>3037</v>
          </cell>
          <cell r="B1148" t="str">
            <v>El dato ingresado en monto de detraccion no cumple con el formato establecido</v>
          </cell>
        </row>
        <row r="1149">
          <cell r="A1149" t="str">
            <v>3038</v>
          </cell>
          <cell r="B1149" t="str">
            <v>La sumatoria de los IGV (operaciones gravadas) de línea no corresponden al total</v>
          </cell>
        </row>
        <row r="1150">
          <cell r="A1150" t="str">
            <v>3039</v>
          </cell>
          <cell r="B1150" t="str">
            <v>La sumatoria del total valor de venta - operaciones gravadas de línea no corresponden al total</v>
          </cell>
        </row>
        <row r="1151">
          <cell r="A1151" t="str">
            <v>3040</v>
          </cell>
          <cell r="B1151" t="str">
            <v>La sumatoria del total valor de venta - Exportaciones de línea no corresponden al total</v>
          </cell>
        </row>
        <row r="1152">
          <cell r="A1152" t="str">
            <v>3041</v>
          </cell>
          <cell r="B1152" t="str">
            <v>La sumatoria del total valor de venta - operaciones inafectas de línea no corresponden al total</v>
          </cell>
        </row>
        <row r="1153">
          <cell r="A1153" t="str">
            <v>3042</v>
          </cell>
          <cell r="B1153" t="str">
            <v>La sumatoria del total valor de venta - operaciones exoneradas de línea no corresponden al total</v>
          </cell>
        </row>
        <row r="1154">
          <cell r="A1154" t="str">
            <v>3043</v>
          </cell>
          <cell r="B1154" t="str">
            <v>El XML no contiene el tag o no existe información de total valor de venta ISC e IVAP</v>
          </cell>
        </row>
        <row r="1155">
          <cell r="A1155" t="str">
            <v>3044</v>
          </cell>
          <cell r="B1155" t="str">
            <v>El dato ingresado en el total valor de venta ISC e IVAP no cumple con el formato establecido</v>
          </cell>
        </row>
        <row r="1156">
          <cell r="A1156" t="str">
            <v>3045</v>
          </cell>
          <cell r="B1156" t="str">
            <v>La sumatoria del total valor de venta - ISC de línea no corresponden al total</v>
          </cell>
        </row>
        <row r="1157">
          <cell r="A1157" t="str">
            <v>3046</v>
          </cell>
          <cell r="B1157" t="str">
            <v>La sumatoria del total valor de venta - IVAP de línea no corresponden al total</v>
          </cell>
        </row>
        <row r="1158">
          <cell r="A1158" t="str">
            <v>3047</v>
          </cell>
          <cell r="B1158" t="str">
            <v>El dato ingresado en el importe del tributo para ISC e IVAP no cumple con el formato establecido</v>
          </cell>
        </row>
        <row r="1159">
          <cell r="A1159" t="str">
            <v>3048</v>
          </cell>
          <cell r="B1159" t="str">
            <v>La sumatoria del total del importe del tributo ISC de línea no corresponden al total</v>
          </cell>
        </row>
        <row r="1160">
          <cell r="A1160" t="str">
            <v>3049</v>
          </cell>
          <cell r="B1160" t="str">
            <v>El importe del IVAP no corresponden al determinado por la información consignada.</v>
          </cell>
        </row>
        <row r="1161">
          <cell r="A1161" t="str">
            <v>3050</v>
          </cell>
          <cell r="B1161" t="str">
            <v>Afectación de IGV no corresponde al código de tributo de la linea.</v>
          </cell>
        </row>
        <row r="1162">
          <cell r="A1162" t="str">
            <v>3051</v>
          </cell>
          <cell r="B1162" t="str">
            <v>Nombre de tributo no corresponde al código de tributo de la linea.</v>
          </cell>
        </row>
        <row r="1163">
          <cell r="A1163" t="str">
            <v>3052</v>
          </cell>
          <cell r="B1163" t="str">
            <v>El factor de cargo/descuento por linea no cumple con el formato establecido.</v>
          </cell>
        </row>
        <row r="1164">
          <cell r="A1164" t="str">
            <v>3053</v>
          </cell>
          <cell r="B1164" t="str">
            <v>El Monto base de cargo/descuento por linea no cumple con el formato establecido.</v>
          </cell>
        </row>
        <row r="1165">
          <cell r="A1165" t="str">
            <v>3054</v>
          </cell>
          <cell r="B1165" t="str">
            <v>El XML no contiene el tag o no existe información de la categoría de impuesto en ISC o IVAP</v>
          </cell>
        </row>
        <row r="1166">
          <cell r="A1166" t="str">
            <v>3055</v>
          </cell>
          <cell r="B1166" t="str">
            <v>Si el código de tributo es 2000, la categoría del tributo debe ser S</v>
          </cell>
        </row>
        <row r="1167">
          <cell r="A1167" t="str">
            <v>3056</v>
          </cell>
          <cell r="B1167" t="str">
            <v>Si el código de tributo es 1016, la categoría del tributo debe ser S</v>
          </cell>
        </row>
        <row r="1168">
          <cell r="A1168" t="str">
            <v>3057</v>
          </cell>
          <cell r="B1168" t="str">
            <v>La sumatoria del total valor de venta - operaciones gratuitas de línea no corresponden al total</v>
          </cell>
        </row>
        <row r="1169">
          <cell r="A1169" t="str">
            <v>3058</v>
          </cell>
          <cell r="B1169" t="str">
            <v>El XML no contiene el tag o no existe información del código de tributo para ISC o IVAP</v>
          </cell>
        </row>
        <row r="1170">
          <cell r="A1170" t="str">
            <v>3059</v>
          </cell>
          <cell r="B1170" t="str">
            <v>El XML no contiene el tag o no existe información de código de tributo.</v>
          </cell>
        </row>
        <row r="1171">
          <cell r="A1171" t="str">
            <v>3060</v>
          </cell>
          <cell r="B1171" t="str">
            <v>El valor del tag código de tributo no corresponde al esperado.</v>
          </cell>
        </row>
        <row r="1172">
          <cell r="A1172" t="str">
            <v>3061</v>
          </cell>
          <cell r="B1172" t="str">
            <v>No se permite importe mayor a cero cuando el codigo de tributo es IVAP y el comprobante esta sujeta a IVAP</v>
          </cell>
        </row>
        <row r="1173">
          <cell r="A1173" t="str">
            <v>3062</v>
          </cell>
          <cell r="B1173" t="str">
            <v>La tasa o porcentaje de detracción no corresponde al valor esperado.</v>
          </cell>
        </row>
        <row r="1174">
          <cell r="A1174" t="str">
            <v>3063</v>
          </cell>
          <cell r="B1174" t="str">
            <v>El XML no contiene el tag de matricula de embarcación en Detracciones para recursos hidrobiologicos.</v>
          </cell>
        </row>
        <row r="1175">
          <cell r="A1175" t="str">
            <v>3064</v>
          </cell>
          <cell r="B1175" t="str">
            <v>El XML no contiene tag o no existe información del valor del concepto por linea.</v>
          </cell>
        </row>
        <row r="1176">
          <cell r="A1176" t="str">
            <v>3065</v>
          </cell>
          <cell r="B1176" t="str">
            <v>El XML no contiene tag de la fecha del concepto por linea.</v>
          </cell>
        </row>
        <row r="1177">
          <cell r="A1177" t="str">
            <v>3066</v>
          </cell>
          <cell r="B1177" t="str">
            <v>El XML contiene un codigo de tributo no valido para Servicios Publicos.</v>
          </cell>
        </row>
        <row r="1178">
          <cell r="A1178" t="str">
            <v>3067</v>
          </cell>
          <cell r="B1178" t="str">
            <v>El código de tributo no debe repetirse a nivel de item</v>
          </cell>
        </row>
        <row r="1179">
          <cell r="A1179" t="str">
            <v>3068</v>
          </cell>
          <cell r="B1179" t="str">
            <v>El código de tributo no debe repetirse a nivel de totales</v>
          </cell>
        </row>
        <row r="1180">
          <cell r="A1180" t="str">
            <v>3069</v>
          </cell>
          <cell r="B1180" t="str">
            <v>El xml contiene una linea con mas de un codigo de tributo repetitivo.</v>
          </cell>
        </row>
        <row r="1181">
          <cell r="A1181" t="str">
            <v>3070</v>
          </cell>
          <cell r="B1181" t="str">
            <v>EL codigo internacional del tributo por linea no corresponde al valor esperado por su Id.</v>
          </cell>
        </row>
        <row r="1182">
          <cell r="A1182" t="str">
            <v>3071</v>
          </cell>
          <cell r="B1182" t="str">
            <v>El dato ingresado como codigo de motivo de cargo/descuento global no es valido (catalogo nro 53)</v>
          </cell>
        </row>
        <row r="1183">
          <cell r="A1183" t="str">
            <v>3072</v>
          </cell>
          <cell r="B1183" t="str">
            <v>El XML no contiene el tag o no existe informacion de codigo de motivo de cargo/descuento global.</v>
          </cell>
        </row>
        <row r="1184">
          <cell r="A1184" t="str">
            <v>3073</v>
          </cell>
          <cell r="B1184" t="str">
            <v>El XML no contiene el tag o no existe informacion de codigo de motivo de cargo/descuento por item.</v>
          </cell>
        </row>
        <row r="1185">
          <cell r="A1185" t="str">
            <v>3074</v>
          </cell>
          <cell r="B1185" t="str">
            <v xml:space="preserve">El monto del cargo para el para FISE debe ser igual mayor a 0.00 </v>
          </cell>
        </row>
        <row r="1186">
          <cell r="A1186" t="str">
            <v>3075</v>
          </cell>
          <cell r="B1186" t="str">
            <v>La sumatoria de descuentos que afectan a BI por linea no corresponden al total</v>
          </cell>
        </row>
        <row r="1187">
          <cell r="A1187" t="str">
            <v>3076</v>
          </cell>
          <cell r="B1187" t="str">
            <v>La sumatoria de descuentos que no afectan a BI por linea no corresponden al total</v>
          </cell>
        </row>
        <row r="1188">
          <cell r="A1188" t="str">
            <v>3077</v>
          </cell>
          <cell r="B1188" t="str">
            <v>La sumatoria de cargos que afectan a BI por linea no corresponden al total</v>
          </cell>
        </row>
        <row r="1189">
          <cell r="A1189" t="str">
            <v>3078</v>
          </cell>
          <cell r="B1189" t="str">
            <v>La sumatoria de cargos que no afectan a BI por linea no corresponden al total</v>
          </cell>
        </row>
        <row r="1190">
          <cell r="A1190" t="str">
            <v>3079</v>
          </cell>
          <cell r="B1190" t="str">
            <v>La sumatoria de montos bases de los descuentos que afectan a BI por linea no corresponden al total</v>
          </cell>
        </row>
        <row r="1191">
          <cell r="A1191" t="str">
            <v>3080</v>
          </cell>
          <cell r="B1191" t="str">
            <v>La sumatoria de montos bases de los descuentos que no afectan a BI por linea no corresponden al total</v>
          </cell>
        </row>
        <row r="1192">
          <cell r="A1192" t="str">
            <v>3081</v>
          </cell>
          <cell r="B1192" t="str">
            <v>La sumatoria de montos bases de los cargos que afectan a BI por linea no corresponden al total</v>
          </cell>
        </row>
        <row r="1193">
          <cell r="A1193" t="str">
            <v>3082</v>
          </cell>
          <cell r="B1193" t="str">
            <v>La sumatoria de montos bases de los cargos que no afectan a BI por linea no corresponden al total</v>
          </cell>
        </row>
        <row r="1194">
          <cell r="A1194" t="str">
            <v>3083</v>
          </cell>
          <cell r="B1194" t="str">
            <v>El XML no contiene el tag o no existe información del total valor de venta.</v>
          </cell>
        </row>
        <row r="1195">
          <cell r="A1195" t="str">
            <v>3084</v>
          </cell>
          <cell r="B1195" t="str">
            <v>La sumatoria de valor de venta no corresponde a los importes consignados</v>
          </cell>
        </row>
        <row r="1196">
          <cell r="A1196" t="str">
            <v>3085</v>
          </cell>
          <cell r="B1196" t="str">
            <v>El XML no contiene el tag o no existe información del total precio de venta.</v>
          </cell>
        </row>
        <row r="1197">
          <cell r="A1197" t="str">
            <v>3086</v>
          </cell>
          <cell r="B1197" t="str">
            <v>La sumatoria consignados en descuentos globales no corresponden al total.</v>
          </cell>
        </row>
        <row r="1198">
          <cell r="A1198" t="str">
            <v>3087</v>
          </cell>
          <cell r="B1198" t="str">
            <v>La sumatoria consignados en cargos globales no corresponden al total</v>
          </cell>
        </row>
        <row r="1199">
          <cell r="A1199" t="str">
            <v>3088</v>
          </cell>
          <cell r="B1199" t="str">
            <v>El valor ingresado como moneda del comprobante no es valido (catalogo nro 02).</v>
          </cell>
        </row>
        <row r="1200">
          <cell r="A1200" t="str">
            <v>3089</v>
          </cell>
          <cell r="B1200" t="str">
            <v>El XML contiene mas de un tag como elemento de numero de documento del emisor</v>
          </cell>
        </row>
        <row r="1201">
          <cell r="A1201" t="str">
            <v>3090</v>
          </cell>
          <cell r="B1201" t="str">
            <v>El XML contiene mas de un tag como elemento de numero de documento del receptor.</v>
          </cell>
        </row>
        <row r="1202">
          <cell r="A1202" t="str">
            <v>3091</v>
          </cell>
          <cell r="B1202" t="str">
            <v>Si se tipo de operación es Venta Interna - Sujeta al FISE, debe ingresar cargo para FISE</v>
          </cell>
        </row>
        <row r="1203">
          <cell r="A1203" t="str">
            <v>3092</v>
          </cell>
          <cell r="B1203" t="str">
            <v>Para cargo/descuento FISE, debe ingresar monto base y debe ser mayor a 0.00</v>
          </cell>
        </row>
        <row r="1204">
          <cell r="A1204" t="str">
            <v>3093</v>
          </cell>
          <cell r="B1204" t="str">
            <v>Si operación es sujeta a percepción y la forma de pago es Contado, debe ingresar cargo para Percepción</v>
          </cell>
        </row>
        <row r="1205">
          <cell r="A1205" t="str">
            <v>3094</v>
          </cell>
          <cell r="B1205" t="str">
            <v>El comprobante más "código de operación del ítem" no debe repetirse</v>
          </cell>
        </row>
        <row r="1206">
          <cell r="A1206" t="str">
            <v>3095</v>
          </cell>
          <cell r="B1206" t="str">
            <v>El comprobante no debe ser emitido y editado en el mismo envío</v>
          </cell>
        </row>
        <row r="1207">
          <cell r="A1207" t="str">
            <v>3096</v>
          </cell>
          <cell r="B1207" t="str">
            <v>El comprobante no debe ser editado y anulado en el mismo envío</v>
          </cell>
        </row>
        <row r="1208">
          <cell r="A1208" t="str">
            <v>3097</v>
          </cell>
          <cell r="B1208" t="str">
            <v>El emisor a la fecha no se encuentra registrado ó habilitado en el Registro de exportadores de servicios SUNAT</v>
          </cell>
        </row>
        <row r="1209">
          <cell r="A1209" t="str">
            <v>3098</v>
          </cell>
          <cell r="B1209" t="str">
            <v>El XML no contiene el tag o no existe información del pais de uso, exploración o aprovechamiento</v>
          </cell>
        </row>
        <row r="1210">
          <cell r="A1210" t="str">
            <v>3099</v>
          </cell>
          <cell r="B1210" t="str">
            <v>El dato ingresado como pais de uso, exploracion o aprovechamiento es incorrecto.</v>
          </cell>
        </row>
        <row r="1211">
          <cell r="A1211" t="str">
            <v>3100</v>
          </cell>
          <cell r="B1211" t="str">
            <v>El dato ingresado como codigo de tributo por linea es invalido para tipo de operación.</v>
          </cell>
        </row>
        <row r="1212">
          <cell r="A1212" t="str">
            <v>3101</v>
          </cell>
          <cell r="B1212" t="str">
            <v>El factor de afectación de IGV por linea debe ser igual a 0.00 para Exoneradas, Inafectas, Exportación, Gratuitas de exoneradas o Gratuitas de inafectas.</v>
          </cell>
        </row>
        <row r="1213">
          <cell r="A1213" t="str">
            <v>3102</v>
          </cell>
          <cell r="B1213" t="str">
            <v>El dato ingresado como factor de afectacion por linea no cumple con el formato establecido.</v>
          </cell>
        </row>
        <row r="1214">
          <cell r="A1214" t="str">
            <v>3103</v>
          </cell>
          <cell r="B1214" t="str">
            <v>El producto del factor y monto base de la afectación del IGV/IVAP no corresponde al monto de afectacion de linea.</v>
          </cell>
        </row>
        <row r="1215">
          <cell r="A1215" t="str">
            <v>3104</v>
          </cell>
          <cell r="B1215" t="str">
            <v>El factor de afectación de ISC por linea debe ser diferente a 0.00.</v>
          </cell>
        </row>
        <row r="1216">
          <cell r="A1216" t="str">
            <v>3105</v>
          </cell>
          <cell r="B1216" t="str">
            <v>El XML debe contener al menos un tributo por linea de afectacion por IGV</v>
          </cell>
        </row>
        <row r="1217">
          <cell r="A1217" t="str">
            <v>3106</v>
          </cell>
          <cell r="B1217" t="str">
            <v>El XML contiene mas de un tributo por linea (Gravado, Exonerado, Inafecto, Exportación)</v>
          </cell>
        </row>
        <row r="1218">
          <cell r="A1218" t="str">
            <v>3107</v>
          </cell>
          <cell r="B1218" t="str">
            <v>El dato ingresado como codigo de tributo global es invalido para tipo de operación.</v>
          </cell>
        </row>
        <row r="1219">
          <cell r="A1219" t="str">
            <v>3108</v>
          </cell>
          <cell r="B1219" t="str">
            <v>El producto del factor y monto base de la afectación del ISC no corresponde al monto de afectacion de linea.</v>
          </cell>
        </row>
        <row r="1220">
          <cell r="A1220" t="str">
            <v>3109</v>
          </cell>
          <cell r="B1220" t="str">
            <v>El producto del factor y monto base de la afectación de otros tributos no corresponde al monto de afectacion de linea.</v>
          </cell>
        </row>
        <row r="1221">
          <cell r="A1221" t="str">
            <v>3110</v>
          </cell>
          <cell r="B1221" t="str">
            <v>El monto de afectacion de IGV por linea debe ser igual a 0.00 para Exoneradas, Inafectas, Exportación, Gratuitas de exoneradas o Gratuitas de inafectas.</v>
          </cell>
        </row>
        <row r="1222">
          <cell r="A1222" t="str">
            <v>3111</v>
          </cell>
          <cell r="B1222" t="str">
            <v>El monto de afectación de IGV por linea debe ser diferente a 0.00.</v>
          </cell>
        </row>
        <row r="1223">
          <cell r="A1223" t="str">
            <v>3112</v>
          </cell>
          <cell r="B1223" t="str">
            <v>La sumatoria de los IGV de operaciones gratuitas de la línea (codigo tributo 9996) no corresponden al total</v>
          </cell>
        </row>
        <row r="1224">
          <cell r="A1224" t="str">
            <v>3113</v>
          </cell>
          <cell r="B1224" t="str">
            <v>El xml contiene información FISE que no corresponde al tipo de operación.</v>
          </cell>
        </row>
        <row r="1225">
          <cell r="A1225" t="str">
            <v>3114</v>
          </cell>
          <cell r="B1225" t="str">
            <v>El dato ingresado como indicador de cargo/descuento no corresponde al valor esperado.</v>
          </cell>
        </row>
        <row r="1226">
          <cell r="A1226" t="str">
            <v>3115</v>
          </cell>
          <cell r="B1226" t="str">
            <v>El dato ingresado como unidad de medida de cantidad de especie vendidas no corresponde al valor esperado.</v>
          </cell>
        </row>
        <row r="1227">
          <cell r="A1227" t="str">
            <v>3116</v>
          </cell>
          <cell r="B1227" t="str">
            <v>El XML no contiene el tag o no existe información del ubigeo de punto de origen en Detracciones - Servicio de transporte de carga.</v>
          </cell>
        </row>
        <row r="1228">
          <cell r="A1228" t="str">
            <v>3117</v>
          </cell>
          <cell r="B1228" t="str">
            <v>El XML no contiene el tag o no existe información de la dirección del punto de origen en Detracciones - Servicio de transporte de carga.</v>
          </cell>
        </row>
        <row r="1229">
          <cell r="A1229" t="str">
            <v>3118</v>
          </cell>
          <cell r="B1229" t="str">
            <v>El XML no contiene el tag o no existe información del ubigeo de punto de destino en Detracciones - Servicio de transporte de carga.</v>
          </cell>
        </row>
        <row r="1230">
          <cell r="A1230" t="str">
            <v>3119</v>
          </cell>
          <cell r="B1230" t="str">
            <v>El XML no contiene el tag o no existe información de la dirección del punto de destino en Detracciones - Servicio de transporte de carga.</v>
          </cell>
        </row>
        <row r="1231">
          <cell r="A1231" t="str">
            <v>3120</v>
          </cell>
          <cell r="B1231" t="str">
            <v>El XML no contiene el tag o no existe información del Detalle del viaje en Detracciones - Servicio de transporte de carga.</v>
          </cell>
        </row>
        <row r="1232">
          <cell r="A1232" t="str">
            <v>3121</v>
          </cell>
          <cell r="B1232" t="str">
            <v>El XML no contiene el tag o no existe información del tipo de valor referencial en Detracciones - Servicios de transporte de carga.</v>
          </cell>
        </row>
        <row r="1233">
          <cell r="A1233" t="str">
            <v>3122</v>
          </cell>
          <cell r="B1233" t="str">
            <v>El XML no contiene el tag o no existe información del monto del valor referencial en Detracciones - Servicios de transporte de carga.</v>
          </cell>
        </row>
        <row r="1234">
          <cell r="A1234" t="str">
            <v>3123</v>
          </cell>
          <cell r="B1234" t="str">
            <v>El dato ingresado como monto valor referencial en Detracciones - Servicios de transporte de carga no cumple con el formato establecido.</v>
          </cell>
        </row>
        <row r="1235">
          <cell r="A1235" t="str">
            <v>3124</v>
          </cell>
          <cell r="B1235" t="str">
            <v>Detracciones - Servicio de transporte de carga, debe tener un (y solo uno) Valor Referencial del Servicio de Transporte.</v>
          </cell>
        </row>
        <row r="1236">
          <cell r="A1236" t="str">
            <v>3125</v>
          </cell>
          <cell r="B1236" t="str">
            <v>Detracciones - Servicio de transporte de carga, debe tener un (y solo uno) Valor Referencial sobre la carga efectiva.</v>
          </cell>
        </row>
        <row r="1237">
          <cell r="A1237" t="str">
            <v>3126</v>
          </cell>
          <cell r="B1237" t="str">
            <v>Detracciones - Servicio de transporte de carga, debe tener un (y solo uno) Valor Referencial sobre la carga util nominal.</v>
          </cell>
        </row>
        <row r="1238">
          <cell r="A1238" t="str">
            <v>3127</v>
          </cell>
          <cell r="B1238" t="str">
            <v>El XML no contiene el tag o no existe información del Codigo de BBSS de detracción para el tipo de operación.</v>
          </cell>
        </row>
        <row r="1239">
          <cell r="A1239" t="str">
            <v>3128</v>
          </cell>
          <cell r="B1239" t="str">
            <v>El XML contiene información de codigo de bien y servicio de detracción que no corresponde al tipo de operación.</v>
          </cell>
        </row>
        <row r="1240">
          <cell r="A1240" t="str">
            <v>3129</v>
          </cell>
          <cell r="B1240" t="str">
            <v>El dato ingresado como codigo de BBSS de detracción no corresponde al valor esperado.</v>
          </cell>
        </row>
        <row r="1241">
          <cell r="A1241" t="str">
            <v>3130</v>
          </cell>
          <cell r="B1241" t="str">
            <v>El XML no contiene el tag de nombre de embarcación en Detracciones para recursos hidrobiologicos.</v>
          </cell>
        </row>
        <row r="1242">
          <cell r="A1242" t="str">
            <v>3131</v>
          </cell>
          <cell r="B1242" t="str">
            <v>El XML no contiene el tag de tipo de especie vendidas en Detracciones para recursos hidrobiologicos.</v>
          </cell>
        </row>
        <row r="1243">
          <cell r="A1243" t="str">
            <v>3132</v>
          </cell>
          <cell r="B1243" t="str">
            <v>El XML no contiene el tag de lugar de descarga en Detracciones para recursos hidrobiologicos.</v>
          </cell>
        </row>
        <row r="1244">
          <cell r="A1244" t="str">
            <v>3133</v>
          </cell>
          <cell r="B1244" t="str">
            <v>El XML no contiene el tag de cantidad de especies vendidas en Detracciones para recursos hidrobiologicos.</v>
          </cell>
        </row>
        <row r="1245">
          <cell r="A1245" t="str">
            <v>3134</v>
          </cell>
          <cell r="B1245" t="str">
            <v>El XML no contiene el tag de fecha de descarga en Detracciones para recursos hidrobiologicos.</v>
          </cell>
        </row>
        <row r="1246">
          <cell r="A1246" t="str">
            <v>3135</v>
          </cell>
          <cell r="B1246" t="str">
            <v>El XML no contiene tag de la cantidad del concepto por linea.</v>
          </cell>
        </row>
        <row r="1247">
          <cell r="A1247" t="str">
            <v>3136</v>
          </cell>
          <cell r="B1247" t="str">
            <v>El XML no contiene el tag de numero de documentos del huesped.</v>
          </cell>
        </row>
        <row r="1248">
          <cell r="A1248" t="str">
            <v>3137</v>
          </cell>
          <cell r="B1248" t="str">
            <v>El XML no contiene el tag de tipo de documentos del huesped.</v>
          </cell>
        </row>
        <row r="1249">
          <cell r="A1249" t="str">
            <v>3138</v>
          </cell>
          <cell r="B1249" t="str">
            <v>El XML no contiene el tag de codigo de pais de emision del documento de identidad</v>
          </cell>
        </row>
        <row r="1250">
          <cell r="A1250" t="str">
            <v>3139</v>
          </cell>
          <cell r="B1250" t="str">
            <v>El XML no contiene el tag de apellidos y nombres del huesped.</v>
          </cell>
        </row>
        <row r="1251">
          <cell r="A1251" t="str">
            <v>3140</v>
          </cell>
          <cell r="B1251" t="str">
            <v>El XML no contiene el tag de codigo del pais de residencia.</v>
          </cell>
        </row>
        <row r="1252">
          <cell r="A1252" t="str">
            <v>3141</v>
          </cell>
          <cell r="B1252" t="str">
            <v>El XML no contiene el tag de fecha de ingreso del pais.</v>
          </cell>
        </row>
        <row r="1253">
          <cell r="A1253" t="str">
            <v>3142</v>
          </cell>
          <cell r="B1253" t="str">
            <v>El XML no contiene el tag de fecha de ingreso al establecimiento.</v>
          </cell>
        </row>
        <row r="1254">
          <cell r="A1254" t="str">
            <v>3143</v>
          </cell>
          <cell r="B1254" t="str">
            <v>El XML no contiene el tag de fecha de salida del establecimiento.</v>
          </cell>
        </row>
        <row r="1255">
          <cell r="A1255" t="str">
            <v>3144</v>
          </cell>
          <cell r="B1255" t="str">
            <v>El XML no contiene el tag de fecha de consumo.</v>
          </cell>
        </row>
        <row r="1256">
          <cell r="A1256" t="str">
            <v>3145</v>
          </cell>
          <cell r="B1256" t="str">
            <v>El XML no contiene el tag de numero de dias de permanencia.</v>
          </cell>
        </row>
        <row r="1257">
          <cell r="A1257" t="str">
            <v>3146</v>
          </cell>
          <cell r="B1257" t="str">
            <v>El XML no contiene el tag de Proveedores Estado: Número de Expediente</v>
          </cell>
        </row>
        <row r="1258">
          <cell r="A1258" t="str">
            <v>3147</v>
          </cell>
          <cell r="B1258" t="str">
            <v>El XML no contiene el tag de Proveedores Estado: Código de Unidad Ejecutora</v>
          </cell>
        </row>
        <row r="1259">
          <cell r="A1259" t="str">
            <v>3148</v>
          </cell>
          <cell r="B1259" t="str">
            <v>El XML no contiene el tag de Proveedores Estado: N° de Proceso de Selección</v>
          </cell>
        </row>
        <row r="1260">
          <cell r="A1260" t="str">
            <v>3149</v>
          </cell>
          <cell r="B1260" t="str">
            <v>El XML no contiene el tag de Proveedores Estado: N° de Contrato</v>
          </cell>
        </row>
        <row r="1261">
          <cell r="A1261" t="str">
            <v>3150</v>
          </cell>
          <cell r="B1261" t="str">
            <v>El XML no contiene el tag de Créditos Hipotecarios: Tipo de préstamo</v>
          </cell>
        </row>
        <row r="1262">
          <cell r="A1262" t="str">
            <v>3151</v>
          </cell>
          <cell r="B1262" t="str">
            <v>El XML no contiene el tag de Créditos Hipotecarios: Partida Registral</v>
          </cell>
        </row>
        <row r="1263">
          <cell r="A1263" t="str">
            <v>3152</v>
          </cell>
          <cell r="B1263" t="str">
            <v>El XML no contiene el tag de Créditos Hipotecarios: Número de contrato</v>
          </cell>
        </row>
        <row r="1264">
          <cell r="A1264" t="str">
            <v>3153</v>
          </cell>
          <cell r="B1264" t="str">
            <v>El XML no contiene el tag de Créditos Hipotecarios: Fecha de otorgamiento del crédito</v>
          </cell>
        </row>
        <row r="1265">
          <cell r="A1265" t="str">
            <v>3154</v>
          </cell>
          <cell r="B1265" t="str">
            <v>El XML no contiene el tag de Créditos Hipotecarios: Dirección del predio - Código de ubigeo</v>
          </cell>
        </row>
        <row r="1266">
          <cell r="A1266" t="str">
            <v>3155</v>
          </cell>
          <cell r="B1266" t="str">
            <v>El XML no contiene el tag de Créditos Hipotecarios: Dirección del predio - Dirección completa</v>
          </cell>
        </row>
        <row r="1267">
          <cell r="A1267" t="str">
            <v>3156</v>
          </cell>
          <cell r="B1267" t="str">
            <v>El XML no contiene el tag de BVME transporte ferroviario: Agente de Viajes: Numero de Ruc</v>
          </cell>
        </row>
        <row r="1268">
          <cell r="A1268" t="str">
            <v>3157</v>
          </cell>
          <cell r="B1268" t="str">
            <v>El XML no contiene el tag de BVME transporte ferroviario: Agente de Viajes: Tipo de documento</v>
          </cell>
        </row>
        <row r="1269">
          <cell r="A1269" t="str">
            <v>3158</v>
          </cell>
          <cell r="B1269" t="str">
            <v>El dato ingresado como Agente de Viajes-Tipo de documento no corresponde al valor esperado.</v>
          </cell>
        </row>
        <row r="1270">
          <cell r="A1270" t="str">
            <v>3159</v>
          </cell>
          <cell r="B1270" t="str">
            <v>El XML no contiene el tag de BVME transporte ferroviario: Pasajero - Apellidos y Nombres</v>
          </cell>
        </row>
        <row r="1271">
          <cell r="A1271" t="str">
            <v>3160</v>
          </cell>
          <cell r="B1271" t="str">
            <v>El XML no contiene el tag de BVME transporte ferroviario: Pasajero - Tipo de documento de identidad</v>
          </cell>
        </row>
        <row r="1272">
          <cell r="A1272" t="str">
            <v>3161</v>
          </cell>
          <cell r="B1272" t="str">
            <v>El XML no contiene el tag de BVME transporte ferroviario: Servicio transporte: Ciudad o lugar de origen - Código de ubigeo</v>
          </cell>
        </row>
        <row r="1273">
          <cell r="A1273" t="str">
            <v>3162</v>
          </cell>
          <cell r="B1273" t="str">
            <v>El XML no contiene el tag de BVME transporte ferroviario: Servicio transporte: Ciudad o lugar de origen - Dirección detallada</v>
          </cell>
        </row>
        <row r="1274">
          <cell r="A1274" t="str">
            <v>3163</v>
          </cell>
          <cell r="B1274" t="str">
            <v>El XML no contiene el tag de BVME transporte ferroviario: Servicio transporte: Ciudad o lugar de destino - Código de ubigeo</v>
          </cell>
        </row>
        <row r="1275">
          <cell r="A1275" t="str">
            <v>3164</v>
          </cell>
          <cell r="B1275" t="str">
            <v>El XML no contiene el tag de BVME transporte ferroviario: Servicio transporte: Ciudad o lugar de destino - Dirección detallada</v>
          </cell>
        </row>
        <row r="1276">
          <cell r="A1276" t="str">
            <v>3165</v>
          </cell>
          <cell r="B1276" t="str">
            <v>El XML no contiene el tag de BVME transporte ferroviario: Servicio transporte:Número de asiento</v>
          </cell>
        </row>
        <row r="1277">
          <cell r="A1277" t="str">
            <v>3166</v>
          </cell>
          <cell r="B1277" t="str">
            <v>El XML no contiene el tag de BVME transporte ferroviario: Servicio transporte: Hora programada de inicio de viaje</v>
          </cell>
        </row>
        <row r="1278">
          <cell r="A1278" t="str">
            <v>3167</v>
          </cell>
          <cell r="B1278" t="str">
            <v>El XML no contiene el tag de BVME transporte ferroviario: Servicio transporte: Fecha programada de inicio de viaje</v>
          </cell>
        </row>
        <row r="1279">
          <cell r="A1279" t="str">
            <v>3168</v>
          </cell>
          <cell r="B1279" t="str">
            <v>El XML no contiene el tag de Carta Porte Aéreo:  Lugar de origen - Código de ubigeo</v>
          </cell>
        </row>
        <row r="1280">
          <cell r="A1280" t="str">
            <v>3169</v>
          </cell>
          <cell r="B1280" t="str">
            <v>El XML no contiene el tag de Carta Porte Aéreo:  Lugar de origen - Dirección detallada</v>
          </cell>
        </row>
        <row r="1281">
          <cell r="A1281" t="str">
            <v>3170</v>
          </cell>
          <cell r="B1281" t="str">
            <v>El XML no contiene el tag de Carta Porte Aéreo:  Lugar de destino - Código de ubigeo</v>
          </cell>
        </row>
        <row r="1282">
          <cell r="A1282" t="str">
            <v>3171</v>
          </cell>
          <cell r="B1282" t="str">
            <v>El XML no contiene el tag de Carta Porte Aéreo:  Lugar de destino - Dirección detallada</v>
          </cell>
        </row>
        <row r="1283">
          <cell r="A1283" t="str">
            <v>3172</v>
          </cell>
          <cell r="B1283" t="str">
            <v>El XML no contiene tag de la Hora del concepto por linea.</v>
          </cell>
        </row>
        <row r="1284">
          <cell r="A1284" t="str">
            <v>3173</v>
          </cell>
          <cell r="B1284" t="str">
            <v>El XML no contiene el tag de BVME transporte ferroviario: Servicio transporte: Forma de Pago</v>
          </cell>
        </row>
        <row r="1285">
          <cell r="A1285" t="str">
            <v>3174</v>
          </cell>
          <cell r="B1285" t="str">
            <v>El dato ingreso como Forma de Pago o Medio de Pago no corresponde al valor esperado (catalogo nro 59)</v>
          </cell>
        </row>
        <row r="1286">
          <cell r="A1286" t="str">
            <v>3175</v>
          </cell>
          <cell r="B1286" t="str">
            <v>El XML no contiene el tag de BVME transporte ferroviario: Servicio de transporte: Número de autorización de la transacción</v>
          </cell>
        </row>
        <row r="1287">
          <cell r="A1287" t="str">
            <v>3176</v>
          </cell>
          <cell r="B1287" t="str">
            <v>El XML no contiene el tag de Regalía Petrolera: Decreto Supremo de aprobación del contrato</v>
          </cell>
        </row>
        <row r="1288">
          <cell r="A1288" t="str">
            <v>3177</v>
          </cell>
          <cell r="B1288" t="str">
            <v>El XML no contiene el tag de Regalía Petrolera: Area de contrato (Lote)</v>
          </cell>
        </row>
        <row r="1289">
          <cell r="A1289" t="str">
            <v>3178</v>
          </cell>
          <cell r="B1289" t="str">
            <v>El XML no contiene el tag de Regalía Petrolera: Periodo de pago - Fecha de inicio</v>
          </cell>
        </row>
        <row r="1290">
          <cell r="A1290" t="str">
            <v>3179</v>
          </cell>
          <cell r="B1290" t="str">
            <v>El XML no contiene el tag de Regalía Petrolera: Periodo de pago - Fecha de fin</v>
          </cell>
        </row>
        <row r="1291">
          <cell r="A1291" t="str">
            <v>3180</v>
          </cell>
          <cell r="B1291" t="str">
            <v>El XML no contiene el tag de Regalía Petrolera: Fecha de Pago</v>
          </cell>
        </row>
        <row r="1292">
          <cell r="A1292" t="str">
            <v>3181</v>
          </cell>
          <cell r="B1292" t="str">
            <v>El dato ingresado como Codigo de producto SUNAT no corresponde al valor esperado para tipo de operación.</v>
          </cell>
        </row>
        <row r="1293">
          <cell r="A1293" t="str">
            <v>3182</v>
          </cell>
          <cell r="B1293" t="str">
            <v>El XML no contiene el tag de Transportre Terreste - Número de asiento</v>
          </cell>
        </row>
        <row r="1294">
          <cell r="A1294" t="str">
            <v>3183</v>
          </cell>
          <cell r="B1294" t="str">
            <v>El XML no contiene el tag de Transporte Terrestre - Información de manifiesto de pasajeros</v>
          </cell>
        </row>
        <row r="1295">
          <cell r="A1295" t="str">
            <v>3184</v>
          </cell>
          <cell r="B1295" t="str">
            <v>El XML no contiene el tag de Transporte Terrestre - Número de documento de identidad del pasajero</v>
          </cell>
        </row>
        <row r="1296">
          <cell r="A1296" t="str">
            <v>3185</v>
          </cell>
          <cell r="B1296" t="str">
            <v>El XML no contiene el tag de Transporte Terrestre - Tipo de documento de identidad del pasajero</v>
          </cell>
        </row>
        <row r="1297">
          <cell r="A1297" t="str">
            <v>3186</v>
          </cell>
          <cell r="B1297" t="str">
            <v>El XML no contiene el tag de Transporte Terrestre - Nombres y apellidos del pasajero</v>
          </cell>
        </row>
        <row r="1298">
          <cell r="A1298" t="str">
            <v>3187</v>
          </cell>
          <cell r="B1298" t="str">
            <v>El XML no contiene el tag de Transporte Terrestre - Ciudad o lugar de destino - Dirección detallada</v>
          </cell>
        </row>
        <row r="1299">
          <cell r="A1299" t="str">
            <v>3188</v>
          </cell>
          <cell r="B1299" t="str">
            <v>El XML no contiene el tag de Transporte Terrestre - Ciudad o lugar de origen - Ubigeo</v>
          </cell>
        </row>
        <row r="1300">
          <cell r="A1300" t="str">
            <v>3189</v>
          </cell>
          <cell r="B1300" t="str">
            <v>El XML no contiene el tag de Transporte Terrestre - Ciudad o lugar de origen - Dirección detallada</v>
          </cell>
        </row>
        <row r="1301">
          <cell r="A1301" t="str">
            <v>3190</v>
          </cell>
          <cell r="B1301" t="str">
            <v>El XML no contiene el tag de Transporte Terrestre - Fecha de inicio programado</v>
          </cell>
        </row>
        <row r="1302">
          <cell r="A1302" t="str">
            <v>3191</v>
          </cell>
          <cell r="B1302" t="str">
            <v>El XML no contiene el tag de Transporte Terrestre - Hora de inicio programado</v>
          </cell>
        </row>
        <row r="1303">
          <cell r="A1303" t="str">
            <v>3192</v>
          </cell>
          <cell r="B1303" t="str">
            <v>El XML no contiene el tag de Total de anticipos</v>
          </cell>
        </row>
        <row r="1304">
          <cell r="A1304" t="str">
            <v>3193</v>
          </cell>
          <cell r="B1304" t="str">
            <v>El dato ingresado Total anticipos no corresponde para el tipo de operación</v>
          </cell>
        </row>
        <row r="1305">
          <cell r="A1305" t="str">
            <v>3194</v>
          </cell>
          <cell r="B1305" t="str">
            <v>Para los ajustes de operaciones de exportación solo es permitido registrar un documento que modifica.</v>
          </cell>
        </row>
        <row r="1306">
          <cell r="A1306" t="str">
            <v>3195</v>
          </cell>
          <cell r="B1306" t="str">
            <v>El xml no contiene el tag de impuesto por linea (TaxtTotal).</v>
          </cell>
        </row>
        <row r="1307">
          <cell r="A1307" t="str">
            <v>3196</v>
          </cell>
          <cell r="B1307" t="str">
            <v>La sumatoria de impuestos globales no corresponde al monto total de impuestos.</v>
          </cell>
        </row>
        <row r="1308">
          <cell r="A1308" t="str">
            <v>3197</v>
          </cell>
          <cell r="B1308" t="str">
            <v>El XML no contiene el tag de Transporte Terrestre - Ciudad o lugar de destino - Ubigeo</v>
          </cell>
        </row>
        <row r="1309">
          <cell r="A1309" t="str">
            <v>3198</v>
          </cell>
          <cell r="B1309" t="str">
            <v>La fecha de cierre no puede ser inferior a la fecha de inicio del cómputo del ciclo de facturación</v>
          </cell>
        </row>
        <row r="1310">
          <cell r="A1310" t="str">
            <v>3199</v>
          </cell>
          <cell r="B1310" t="str">
            <v>Si utiliza el estandar GS1 debe especificar el tipo de estructura GTIN</v>
          </cell>
        </row>
        <row r="1311">
          <cell r="A1311" t="str">
            <v>3200</v>
          </cell>
          <cell r="B1311" t="str">
            <v>El tipo de estructura GS1 no tiene un valor permitido</v>
          </cell>
        </row>
        <row r="1312">
          <cell r="A1312" t="str">
            <v>3201</v>
          </cell>
          <cell r="B1312" t="str">
            <v>El código de producto GS1 no cumple el estandar</v>
          </cell>
        </row>
        <row r="1313">
          <cell r="A1313" t="str">
            <v>3202</v>
          </cell>
          <cell r="B1313" t="str">
            <v>El numero de RUC del receptor no existe.</v>
          </cell>
        </row>
        <row r="1314">
          <cell r="A1314" t="str">
            <v>3203</v>
          </cell>
          <cell r="B1314" t="str">
            <v>El tipo de nota es un dato único</v>
          </cell>
        </row>
        <row r="1315">
          <cell r="A1315" t="str">
            <v>3204</v>
          </cell>
          <cell r="B1315" t="str">
            <v>El XML no contiene el tag de BVME transporte ferroviario: Pasajero - Número de documento de identidad</v>
          </cell>
        </row>
        <row r="1316">
          <cell r="A1316" t="str">
            <v>3205</v>
          </cell>
          <cell r="B1316" t="str">
            <v>Debe consignar el tipo de operación</v>
          </cell>
        </row>
        <row r="1317">
          <cell r="A1317" t="str">
            <v>3206</v>
          </cell>
          <cell r="B1317" t="str">
            <v>El dato ingresado como tipo de operación no corresponde a un valor esperado (catálogo nro. 51)</v>
          </cell>
        </row>
        <row r="1318">
          <cell r="A1318" t="str">
            <v>3207</v>
          </cell>
          <cell r="B1318" t="str">
            <v xml:space="preserve">Comprobante físico no se encuentra autorizado </v>
          </cell>
        </row>
        <row r="1319">
          <cell r="A1319" t="str">
            <v>3208</v>
          </cell>
          <cell r="B1319" t="str">
            <v>La moneda del monto de la detracción debe ser PEN</v>
          </cell>
        </row>
        <row r="1320">
          <cell r="A1320" t="str">
            <v>3209</v>
          </cell>
          <cell r="B1320" t="str">
            <v>El tipo de moneda de la nota debe ser el mismo que el declarado en el documento que modifica</v>
          </cell>
        </row>
        <row r="1321">
          <cell r="A1321" t="str">
            <v>3210</v>
          </cell>
          <cell r="B1321" t="str">
            <v>Solo debe consignar sistema de calculo si el tributo es ISC</v>
          </cell>
        </row>
        <row r="1322">
          <cell r="A1322" t="str">
            <v>3211</v>
          </cell>
          <cell r="B1322" t="str">
            <v>Falta identificador del pago del Monto de anticipo para relacionarlo con el comprobante que se realizo el  anticipo</v>
          </cell>
        </row>
        <row r="1323">
          <cell r="A1323" t="str">
            <v>3212</v>
          </cell>
          <cell r="B1323" t="str">
            <v>El comprobante contiene un identificador de pago repetido en los montos anticipados</v>
          </cell>
        </row>
        <row r="1324">
          <cell r="A1324" t="str">
            <v>3213</v>
          </cell>
          <cell r="B1324" t="str">
            <v>El comprobante contiene un pago anticipado pero no se ha consignado el documento que se realizo el anticipo</v>
          </cell>
        </row>
        <row r="1325">
          <cell r="A1325" t="str">
            <v>3214</v>
          </cell>
          <cell r="B1325" t="str">
            <v>No existe información del Monto Anticipado para el comprobante que se realizo el anticipo</v>
          </cell>
        </row>
        <row r="1326">
          <cell r="A1326" t="str">
            <v>3215</v>
          </cell>
          <cell r="B1326" t="str">
            <v>El comprobante contiene un identificador de pago repetido en los comprobantes que se realizo el anticipo</v>
          </cell>
        </row>
        <row r="1327">
          <cell r="A1327" t="str">
            <v>3216</v>
          </cell>
          <cell r="B1327" t="str">
            <v>Falta identificador del pago del comprobante para relacionarlo con el monto de  anticipo</v>
          </cell>
        </row>
        <row r="1328">
          <cell r="A1328" t="str">
            <v>3217</v>
          </cell>
          <cell r="B1328" t="str">
            <v>Debe consignar Numero de RUC del emisor del comprobante de anticipo</v>
          </cell>
        </row>
        <row r="1329">
          <cell r="A1329" t="str">
            <v>3218</v>
          </cell>
          <cell r="B1329" t="str">
            <v>El comprobante que se realizo el anticipo no existe</v>
          </cell>
        </row>
        <row r="1330">
          <cell r="A1330" t="str">
            <v>3219</v>
          </cell>
          <cell r="B1330" t="str">
            <v>El comprobante que se realizo el anticipo no se encuentra autorizado</v>
          </cell>
        </row>
        <row r="1331">
          <cell r="A1331" t="str">
            <v>3220</v>
          </cell>
          <cell r="B1331" t="str">
            <v>Si consigna montos de anticipo debe informar el Total de Anticipos</v>
          </cell>
        </row>
        <row r="1332">
          <cell r="A1332" t="str">
            <v>3221</v>
          </cell>
          <cell r="B1332" t="str">
            <v>El dato ingresado como codigo de tributo global es invalido para tipo de nota</v>
          </cell>
        </row>
        <row r="1333">
          <cell r="A1333" t="str">
            <v>3222</v>
          </cell>
          <cell r="B1333" t="str">
            <v>No existe información a nivel global de un tributo informado en la línea</v>
          </cell>
        </row>
        <row r="1334">
          <cell r="A1334" t="str">
            <v>3223</v>
          </cell>
          <cell r="B1334" t="str">
            <v>La combinación de tributos no es permitida</v>
          </cell>
        </row>
        <row r="1335">
          <cell r="A1335" t="str">
            <v>3224</v>
          </cell>
          <cell r="B1335" t="str">
            <v>Si existe 'Valor referencial unitario en operac. no onerosas' con monto mayor a cero, la operacion debe ser gratuita (codigo de tributo 9996)</v>
          </cell>
        </row>
        <row r="1336">
          <cell r="A1336" t="str">
            <v>3225</v>
          </cell>
          <cell r="B1336" t="str">
            <v>La base imponible a nivel de línea difiere de la información consignada en el comprobante</v>
          </cell>
        </row>
        <row r="1337">
          <cell r="A1337" t="str">
            <v>3226</v>
          </cell>
          <cell r="B1337" t="str">
            <v>El resultado del monto del cargo o descuento global es incorrecto en base a la información consignada</v>
          </cell>
        </row>
        <row r="1338">
          <cell r="A1338" t="str">
            <v>3227</v>
          </cell>
          <cell r="B1338" t="str">
            <v>La sumatoria del Total del valor de venta más los impuestos no concuerda con la base imponible</v>
          </cell>
        </row>
        <row r="1339">
          <cell r="A1339" t="str">
            <v>3228</v>
          </cell>
          <cell r="B1339" t="str">
            <v>El Comprobante de Pago no está autorizado en los Sistemas de la SUNAT.</v>
          </cell>
        </row>
        <row r="1340">
          <cell r="A1340" t="str">
            <v>3229</v>
          </cell>
          <cell r="B1340" t="str">
            <v>El monto para el redondeo del Importe Total excede el valor permitido</v>
          </cell>
        </row>
        <row r="1341">
          <cell r="A1341" t="str">
            <v>3230</v>
          </cell>
          <cell r="B1341" t="str">
            <v>Tipo de nota debe ser 'Ajustes afectos al IVAP'</v>
          </cell>
        </row>
        <row r="1342">
          <cell r="A1342" t="str">
            <v>3231</v>
          </cell>
          <cell r="B1342" t="str">
            <v>Debe consignar solo un elemento a nivel global para Percepciones (cbc:ID igual a 2001)</v>
          </cell>
        </row>
        <row r="1343">
          <cell r="A1343" t="str">
            <v>3232</v>
          </cell>
          <cell r="B1343" t="str">
            <v>Sólo los contribuyentes que hayan emitido los siguientes documentos: Guías, factura, boleta y sus respectivas notas, hasta el 30/09/2018 están autorizados a utilizar esta versión UBL</v>
          </cell>
        </row>
        <row r="1344">
          <cell r="A1344" t="str">
            <v>3233</v>
          </cell>
          <cell r="B1344" t="str">
            <v>Para cargo Percepción, debe ingresar monto base y debe ser mayor a 0.00</v>
          </cell>
        </row>
        <row r="1345">
          <cell r="A1345" t="str">
            <v>3234</v>
          </cell>
          <cell r="B1345" t="str">
            <v>El código de precio '02' es sólo para operaciones gratuitas</v>
          </cell>
        </row>
        <row r="1346">
          <cell r="A1346" t="str">
            <v>3235</v>
          </cell>
          <cell r="B1346" t="str">
            <v>No está autorizado a enviar comprobantes bajo el formato UBL 2.0</v>
          </cell>
        </row>
        <row r="1347">
          <cell r="A1347" t="str">
            <v>3236</v>
          </cell>
          <cell r="B1347" t="str">
            <v>El valor ingresado en el campo cac:TaxSubtotal/cbc:BaseUnitMeasure no corresponde al valor esperado</v>
          </cell>
        </row>
        <row r="1348">
          <cell r="A1348" t="str">
            <v>3237</v>
          </cell>
          <cell r="B1348" t="str">
            <v>Debe consignar el campo cac:TaxSubtotal/cbc:BaseUnitMeasure a nivel de ítem</v>
          </cell>
        </row>
        <row r="1349">
          <cell r="A1349" t="str">
            <v>3238</v>
          </cell>
          <cell r="B1349" t="str">
            <v>El valor ingresado en el campo cac:TaxSubtotal/cbc:PerUnitAmount del ítem no corresponde al valor esperado</v>
          </cell>
        </row>
        <row r="1350">
          <cell r="A1350" t="str">
            <v>3239</v>
          </cell>
          <cell r="B1350" t="str">
            <v>El código de local anexo consignado no se encuentra declarado en el RUC</v>
          </cell>
        </row>
        <row r="1351">
          <cell r="A1351" t="str">
            <v>3240</v>
          </cell>
          <cell r="B1351" t="str">
            <v>El impuesto ICBPER no aplica para el NRUS</v>
          </cell>
        </row>
        <row r="1352">
          <cell r="A1352" t="str">
            <v>3241</v>
          </cell>
          <cell r="B1352" t="str">
            <v>Para el tipo de operación 2100, 2101 y 2102 (Creditos) debe consignar Numero de contrato, Fecha de otorgamiento y Monto del crédito otorgado (capital)</v>
          </cell>
        </row>
        <row r="1353">
          <cell r="A1353" t="str">
            <v>3242</v>
          </cell>
          <cell r="B1353" t="str">
            <v>Para el tipo de operación 2104 - Empresas del sistema de seguros, debe consignar Información adicional  a nivel de ítem</v>
          </cell>
        </row>
        <row r="1354">
          <cell r="A1354" t="str">
            <v>3243</v>
          </cell>
          <cell r="B1354" t="str">
            <v>El XML no contiene tag o no existe información de la fecha del concepto por linea</v>
          </cell>
        </row>
        <row r="1355">
          <cell r="A1355" t="str">
            <v>3244</v>
          </cell>
          <cell r="B1355" t="str">
            <v>Debe consignar la informacion del tipo de transaccion del comprobante</v>
          </cell>
        </row>
        <row r="1356">
          <cell r="A1356" t="str">
            <v>3245</v>
          </cell>
          <cell r="B1356" t="str">
            <v>Debe informar si el tipo de transaccion es al Contado o al Credito</v>
          </cell>
        </row>
        <row r="1357">
          <cell r="A1357" t="str">
            <v>3246</v>
          </cell>
          <cell r="B1357" t="str">
            <v>El tipo de transaccion o el identificador de la cuota no cumple con el formato esperado</v>
          </cell>
        </row>
        <row r="1358">
          <cell r="A1358" t="str">
            <v>3247</v>
          </cell>
          <cell r="B1358" t="str">
            <v>El tipo de transaccion no puede ser a la vez al Contado y al Credito</v>
          </cell>
        </row>
        <row r="1359">
          <cell r="A1359" t="str">
            <v>3248</v>
          </cell>
          <cell r="B1359" t="str">
            <v>El tipo de transaccion o el identificador de la cuota no debe repetirse en el comprobante</v>
          </cell>
        </row>
        <row r="1360">
          <cell r="A1360" t="str">
            <v>3249</v>
          </cell>
          <cell r="B1360" t="str">
            <v>Si el tipo de transaccion es al Credito debe existir al menos información de una cuota de pago</v>
          </cell>
        </row>
        <row r="1361">
          <cell r="A1361" t="str">
            <v>3250</v>
          </cell>
          <cell r="B1361" t="str">
            <v>El Monto neto pendiente de pago no cumple el formato definido</v>
          </cell>
        </row>
        <row r="1362">
          <cell r="A1362" t="str">
            <v>3251</v>
          </cell>
          <cell r="B1362" t="str">
            <v>Si el tipo de transaccion es al Credito debe consignarse el Monto neto pendiente de pago</v>
          </cell>
        </row>
        <row r="1363">
          <cell r="A1363" t="str">
            <v>3252</v>
          </cell>
          <cell r="B1363" t="str">
            <v>Si existe información de cuota de pago, el tipo de transaccion debe ser al credito</v>
          </cell>
        </row>
        <row r="1364">
          <cell r="A1364" t="str">
            <v>3253</v>
          </cell>
          <cell r="B1364" t="str">
            <v>El Monto del pago único o de las cuotas no cumple el formato definido</v>
          </cell>
        </row>
        <row r="1365">
          <cell r="A1365" t="str">
            <v>3254</v>
          </cell>
          <cell r="B1365" t="str">
            <v>Si se consigna información de la cuota de pago, debe indicarse el monto de la cuota</v>
          </cell>
        </row>
        <row r="1366">
          <cell r="A1366" t="str">
            <v>3255</v>
          </cell>
          <cell r="B1366" t="str">
            <v>Fecha del pago único o de las cuotas no cumple el formato definido</v>
          </cell>
        </row>
        <row r="1367">
          <cell r="A1367" t="str">
            <v>3256</v>
          </cell>
          <cell r="B1367" t="str">
            <v>Si se consigna información de la cuota de pago, debe indicarse la fecha del pago único o de las cuotas</v>
          </cell>
        </row>
        <row r="1368">
          <cell r="A1368" t="str">
            <v>3257</v>
          </cell>
          <cell r="B1368" t="str">
            <v>Para el tipo de nota de credito 13 debe consignar información de la operación al credito</v>
          </cell>
        </row>
        <row r="1369">
          <cell r="A1369" t="str">
            <v>3259</v>
          </cell>
          <cell r="B1369" t="str">
            <v>Para el tipo de nota de credito 13 el documento afectado debe ser Factura</v>
          </cell>
        </row>
        <row r="1370">
          <cell r="A1370" t="str">
            <v>3260</v>
          </cell>
          <cell r="B1370" t="str">
            <v>Para el tipo de nota de credito 13 el documento afectado debe ser Factura al credito</v>
          </cell>
        </row>
        <row r="1371">
          <cell r="A1371" t="str">
            <v>3261</v>
          </cell>
          <cell r="B1371" t="str">
            <v>Para el tipo de nota de credito 13 no se puede modificar mas de una factura en la nota</v>
          </cell>
        </row>
        <row r="1372">
          <cell r="A1372" t="str">
            <v>3262</v>
          </cell>
          <cell r="B1372" t="str">
            <v>Si existe retencion de IGV en el comprobante, el receptor debe ser un Agente de Retencion</v>
          </cell>
        </row>
        <row r="1373">
          <cell r="A1373" t="str">
            <v>3263</v>
          </cell>
          <cell r="B1373" t="str">
            <v>El Importe de la retencion no tiene el valor correcto</v>
          </cell>
        </row>
        <row r="1374">
          <cell r="A1374" t="str">
            <v>3264</v>
          </cell>
          <cell r="B1374" t="str">
            <v>El importe total de la operación (base imponible de retencion) no puede ser mayor al importe total del comprobante.</v>
          </cell>
        </row>
        <row r="1375">
          <cell r="A1375" t="str">
            <v>3265</v>
          </cell>
          <cell r="B1375" t="str">
            <v>El Monto neto pendiente de pago debe ser menor o igual al Importe total del comprobante</v>
          </cell>
        </row>
        <row r="1376">
          <cell r="A1376" t="str">
            <v>3266</v>
          </cell>
          <cell r="B1376" t="str">
            <v>El Monto del pago único o de las cuotas debe ser menor o igual al Importe total del comprobante</v>
          </cell>
        </row>
        <row r="1377">
          <cell r="A1377" t="str">
            <v>3267</v>
          </cell>
          <cell r="B1377" t="str">
            <v>Fecha del pago único o de las cuotas no puede ser anterior o igual a la fecha de emisión del comprobante</v>
          </cell>
        </row>
        <row r="1378">
          <cell r="A1378" t="str">
            <v>3268</v>
          </cell>
          <cell r="B1378" t="str">
            <v>El código de local anexo consignado no se encuentra declarado en el RUC</v>
          </cell>
        </row>
        <row r="1379">
          <cell r="A1379" t="str">
            <v>3269</v>
          </cell>
          <cell r="B1379" t="str">
            <v>Si existe retencion de IGV en el comprobante, el emisor no debe ser un Agente de Retencion</v>
          </cell>
        </row>
        <row r="1380">
          <cell r="A1380" t="str">
            <v>3270</v>
          </cell>
          <cell r="B1380" t="str">
            <v>El precio unitario de la operación que está informando difiere de los cálculos realizados en base a la información remitida</v>
          </cell>
        </row>
        <row r="1381">
          <cell r="A1381" t="str">
            <v>3271</v>
          </cell>
          <cell r="B1381" t="str">
            <v>El valor de venta por ítem difiere de los importes consignados.</v>
          </cell>
        </row>
        <row r="1382">
          <cell r="A1382" t="str">
            <v>3272</v>
          </cell>
          <cell r="B1382" t="str">
            <v>La base imponible a nivel de línea difiere de la información consignada en el comprobante</v>
          </cell>
        </row>
        <row r="1383">
          <cell r="A1383" t="str">
            <v>3273</v>
          </cell>
          <cell r="B1383" t="str">
            <v>La sumatoria del total valor de venta - Exportaciones de línea no corresponden al total</v>
          </cell>
        </row>
        <row r="1384">
          <cell r="A1384" t="str">
            <v>3274</v>
          </cell>
          <cell r="B1384" t="str">
            <v>La sumatoria del total valor de venta - operaciones inafectas de línea no corresponden al total</v>
          </cell>
        </row>
        <row r="1385">
          <cell r="A1385" t="str">
            <v>3275</v>
          </cell>
          <cell r="B1385" t="str">
            <v>La sumatoria del total valor de venta - operaciones exoneradas de línea no corresponden al total</v>
          </cell>
        </row>
        <row r="1386">
          <cell r="A1386" t="str">
            <v>3276</v>
          </cell>
          <cell r="B1386" t="str">
            <v>La sumatoria del total valor de venta - operaciones gratuitas de línea no corresponden al total</v>
          </cell>
        </row>
        <row r="1387">
          <cell r="A1387" t="str">
            <v>3277</v>
          </cell>
          <cell r="B1387" t="str">
            <v>La sumatoria del total valor de venta - operaciones gravadas de línea no corresponden al total</v>
          </cell>
        </row>
        <row r="1388">
          <cell r="A1388" t="str">
            <v>3278</v>
          </cell>
          <cell r="B1388" t="str">
            <v>La sumatoria de valor de venta no corresponde a los importes consignados</v>
          </cell>
        </row>
        <row r="1389">
          <cell r="A1389" t="str">
            <v>3279</v>
          </cell>
          <cell r="B1389" t="str">
            <v>La sumatoria del Total del valor de venta más los impuestos no concuerda con la base imponible</v>
          </cell>
        </row>
        <row r="1390">
          <cell r="A1390" t="str">
            <v>3280</v>
          </cell>
          <cell r="B1390" t="str">
            <v>El importe total del comprobante no coincide con el valor calculado</v>
          </cell>
        </row>
        <row r="1391">
          <cell r="A1391" t="str">
            <v>3281</v>
          </cell>
          <cell r="B1391" t="str">
            <v>El emisor electrónico no se encuentra inscrito en el Registro de Establecimientos Autorizados (REA)</v>
          </cell>
        </row>
        <row r="1392">
          <cell r="A1392" t="str">
            <v>3282</v>
          </cell>
          <cell r="B1392" t="str">
            <v>Si se informa descuentos globales por anticipo debe existir 'Total de anticipos' con monto mayor a cero</v>
          </cell>
        </row>
        <row r="1393">
          <cell r="A1393" t="str">
            <v>3283</v>
          </cell>
          <cell r="B1393" t="str">
            <v>Si se utiliza la leyenda con código 2001, el total de operaciones exoneradas debe ser mayor a 0.00</v>
          </cell>
        </row>
        <row r="1394">
          <cell r="A1394" t="str">
            <v>3284</v>
          </cell>
          <cell r="B1394" t="str">
            <v>Si se utiliza la leyenda con código 2002, el total de operaciones exoneradas debe ser mayor a 0.00</v>
          </cell>
        </row>
        <row r="1395">
          <cell r="A1395" t="str">
            <v>3285</v>
          </cell>
          <cell r="B1395" t="str">
            <v>Si se utiliza la leyenda con código 2003, el total de operaciones exoneradas debe ser mayor a 0.00</v>
          </cell>
        </row>
        <row r="1396">
          <cell r="A1396" t="str">
            <v>3286</v>
          </cell>
          <cell r="B1396" t="str">
            <v>El monto total de la nota de credito debe ser menor o igual al monto de la factura</v>
          </cell>
        </row>
        <row r="1397">
          <cell r="A1397" t="str">
            <v>3287</v>
          </cell>
          <cell r="B1397" t="str">
            <v>Si se informa 'Total de anticipos' debe consignar los descuentos globales por anticipo con monto mayor a cero</v>
          </cell>
        </row>
        <row r="1398">
          <cell r="A1398" t="str">
            <v>3288</v>
          </cell>
          <cell r="B1398" t="str">
            <v>Debe consignar el Total Valor de Venta</v>
          </cell>
        </row>
        <row r="1399">
          <cell r="A1399" t="str">
            <v>3289</v>
          </cell>
          <cell r="B1399" t="str">
            <v>Si se utiliza la leyenda con código 2008, el total de operaciones exoneradas debe ser mayor a 0.00</v>
          </cell>
        </row>
        <row r="1400">
          <cell r="A1400" t="str">
            <v>3290</v>
          </cell>
          <cell r="B1400" t="str">
            <v>El valor de cargo/descuento por ítem difiere de los importes consignados.</v>
          </cell>
        </row>
        <row r="1401">
          <cell r="A1401" t="str">
            <v>3291</v>
          </cell>
          <cell r="B1401" t="str">
            <v>El cálculo del IGV es Incorrecto</v>
          </cell>
        </row>
        <row r="1402">
          <cell r="A1402" t="str">
            <v>3292</v>
          </cell>
          <cell r="B1402" t="str">
            <v>El importe total de impuestos por línea no coincide con la sumatoria de los impuestos por línea.</v>
          </cell>
        </row>
        <row r="1403">
          <cell r="A1403" t="str">
            <v>3293</v>
          </cell>
          <cell r="B1403" t="str">
            <v>La sumatoria del total valor de venta - IVAP de línea no corresponden al total</v>
          </cell>
        </row>
        <row r="1404">
          <cell r="A1404" t="str">
            <v>3294</v>
          </cell>
          <cell r="B1404" t="str">
            <v>La sumatoria de impuestos globales no corresponde al monto total de impuestos.</v>
          </cell>
        </row>
        <row r="1405">
          <cell r="A1405" t="str">
            <v>3295</v>
          </cell>
          <cell r="B1405" t="str">
            <v>El importe del IVAP no corresponden al determinado por la informacion consignada.</v>
          </cell>
        </row>
        <row r="1406">
          <cell r="A1406" t="str">
            <v>3296</v>
          </cell>
          <cell r="B1406" t="str">
            <v>La sumatoria del monto base - ISC de línea no corresponden al total</v>
          </cell>
        </row>
        <row r="1407">
          <cell r="A1407" t="str">
            <v>3297</v>
          </cell>
          <cell r="B1407" t="str">
            <v>La sumatoria del monto base - Otros tributos de línea no corresponden al total</v>
          </cell>
        </row>
        <row r="1408">
          <cell r="A1408" t="str">
            <v>3298</v>
          </cell>
          <cell r="B1408" t="str">
            <v>La sumatoria del total del importe del tributo ISC de línea no corresponden al total</v>
          </cell>
        </row>
        <row r="1409">
          <cell r="A1409" t="str">
            <v>3299</v>
          </cell>
          <cell r="B1409" t="str">
            <v>La sumatoria del total del importe del tributo Otros tributos de línea no corresponden al total</v>
          </cell>
        </row>
        <row r="1410">
          <cell r="A1410" t="str">
            <v>3300</v>
          </cell>
          <cell r="B1410" t="str">
            <v>La sumatoria consignados en descuentos globales no corresponden al total.</v>
          </cell>
        </row>
        <row r="1411">
          <cell r="A1411" t="str">
            <v>3301</v>
          </cell>
          <cell r="B1411" t="str">
            <v>La sumatoria consignados en cargos globales no corresponden al total</v>
          </cell>
        </row>
        <row r="1412">
          <cell r="A1412" t="str">
            <v>3302</v>
          </cell>
          <cell r="B1412" t="str">
            <v>La sumatoria de los IGV de operaciones gratuitas de la línea (codigo tributo 9996) no corresponden al total</v>
          </cell>
        </row>
        <row r="1413">
          <cell r="A1413" t="str">
            <v>3303</v>
          </cell>
          <cell r="B1413" t="str">
            <v>El monto para el redondeo del Importe Total excede el valor permitido</v>
          </cell>
        </row>
        <row r="1414">
          <cell r="A1414" t="str">
            <v>3304</v>
          </cell>
          <cell r="B1414" t="str">
            <v>La moneda del monto para el redondeo debe ser PEN</v>
          </cell>
        </row>
        <row r="1415">
          <cell r="A1415" t="str">
            <v>3305</v>
          </cell>
          <cell r="B1415" t="str">
            <v>Debe consignar el Total Precio de Venta</v>
          </cell>
        </row>
        <row r="1416">
          <cell r="A1416" t="str">
            <v>3306</v>
          </cell>
          <cell r="B1416" t="str">
            <v>La sumatoria del total del importe del tributo ICBPER de línea no corresponden al total</v>
          </cell>
        </row>
        <row r="1417">
          <cell r="A1417" t="str">
            <v>3307</v>
          </cell>
          <cell r="B1417" t="str">
            <v>El valor de cargo/descuento global difiere de los importes consignados</v>
          </cell>
        </row>
        <row r="1418">
          <cell r="A1418" t="str">
            <v>3308</v>
          </cell>
          <cell r="B1418" t="str">
            <v>Solo debe consignar informacion de percepciones si el tipo de operación es 2001-Operación sujeta a Percepcion</v>
          </cell>
        </row>
        <row r="1419">
          <cell r="A1419" t="str">
            <v>3309</v>
          </cell>
          <cell r="B1419" t="str">
            <v>Si forma de pago es Contado debe consignar un Payment Terms con indicador Percepcion</v>
          </cell>
        </row>
        <row r="1420">
          <cell r="A1420" t="str">
            <v>3310</v>
          </cell>
          <cell r="B1420" t="str">
            <v>Debe consignar el Monto total incluido la percepcion</v>
          </cell>
        </row>
        <row r="1421">
          <cell r="A1421" t="str">
            <v>3311</v>
          </cell>
          <cell r="B1421" t="str">
            <v>El Monto total incluido la percepción no cumple con el formato establecido</v>
          </cell>
        </row>
        <row r="1422">
          <cell r="A1422" t="str">
            <v>3312</v>
          </cell>
          <cell r="B1422" t="str">
            <v>El documento relacionado tiene monto informado de percepción</v>
          </cell>
        </row>
        <row r="1423">
          <cell r="A1423" t="str">
            <v>3313</v>
          </cell>
          <cell r="B1423" t="str">
            <v>Si consigna información del codigo bien sujeto a detraccion, debe informar la cuenta de BN y montos de la detraccion</v>
          </cell>
        </row>
        <row r="1424">
          <cell r="A1424" t="str">
            <v>3314</v>
          </cell>
          <cell r="B1424" t="str">
            <v>Si consigna cuenta de BN y montos de la detraccion, debe informar el codigo bien sujeto a detraccion</v>
          </cell>
        </row>
        <row r="1425">
          <cell r="A1425" t="str">
            <v>3315</v>
          </cell>
          <cell r="B1425" t="str">
            <v>Si el tipo de nota de credito es 13, el Importe total debe ser cero</v>
          </cell>
        </row>
        <row r="1426">
          <cell r="A1426" t="str">
            <v>3316</v>
          </cell>
          <cell r="B1426" t="str">
            <v>Si el tipo de operación es 2002, debe informar los datos de la retención de segunda categoria</v>
          </cell>
        </row>
        <row r="1427">
          <cell r="A1427" t="str">
            <v>3317</v>
          </cell>
          <cell r="B1427" t="str">
            <v>Si consigna infomacion de la retencion de segunda categoria, el tipo de operacion debe ser 2002</v>
          </cell>
        </row>
        <row r="1428">
          <cell r="A1428" t="str">
            <v>3318</v>
          </cell>
          <cell r="B1428" t="str">
            <v>Debe consignar la base de la retencion de segunda categoria</v>
          </cell>
        </row>
        <row r="1429">
          <cell r="A1429" t="str">
            <v>3319</v>
          </cell>
          <cell r="B1429" t="str">
            <v>La suma de las cuotas debe ser igual al Monto neto pendiente de pago.</v>
          </cell>
        </row>
        <row r="1430">
          <cell r="A1430" t="str">
            <v>3320</v>
          </cell>
          <cell r="B1430" t="str">
            <v>El monto neto pendiente de pago debe ser menor o igual al monto de la factura</v>
          </cell>
        </row>
        <row r="1431">
          <cell r="A1431" t="str">
            <v>3321</v>
          </cell>
          <cell r="B1431" t="str">
            <v>La fecha de la cuota debe ser mayor a la fecha de emisión de la factura</v>
          </cell>
        </row>
        <row r="1432">
          <cell r="A1432" t="str">
            <v>3322</v>
          </cell>
          <cell r="B1432" t="str">
            <v>El valor debe ser 01 que corresponde a Emisión de Percepción Excepcional</v>
          </cell>
        </row>
        <row r="1433">
          <cell r="A1433" t="str">
            <v>3323</v>
          </cell>
          <cell r="B1433" t="str">
            <v>Solo se permite 1 documento relacionado cuando el Indicador de emisión excepcional es '01'</v>
          </cell>
        </row>
        <row r="1434">
          <cell r="A1434" t="str">
            <v>3324</v>
          </cell>
          <cell r="B1434" t="str">
            <v>Solo se permite '01' para el Tipo de documento relacionado cuando el valor del Indicador de emisión excepcional es '01'</v>
          </cell>
        </row>
        <row r="1435">
          <cell r="A1435" t="str">
            <v>3325</v>
          </cell>
          <cell r="B1435" t="str">
            <v>Se permite emitir comprobante de percepción excepcional cuando el documento de referencia es al contado.</v>
          </cell>
        </row>
        <row r="1436">
          <cell r="A1436" t="str">
            <v>3326</v>
          </cell>
          <cell r="B1436" t="str">
            <v>Solo se permite referenciar siempre y cuando el comprobante de percepción excepcional en el que se referencia al documento relacionado haya sido revertido.</v>
          </cell>
        </row>
        <row r="1437">
          <cell r="A1437" t="str">
            <v>3327</v>
          </cell>
          <cell r="B1437" t="str">
            <v>No esta permitido referenciar el Código del régimen de percepción con el regimen del documento relacionado.</v>
          </cell>
        </row>
        <row r="1438">
          <cell r="A1438" t="str">
            <v>3328</v>
          </cell>
          <cell r="B1438" t="str">
            <v>La boleta de venta relacionada tiene monto informado de percepción.</v>
          </cell>
        </row>
        <row r="1439">
          <cell r="A1439" t="str">
            <v>3329</v>
          </cell>
          <cell r="B1439" t="str">
            <v>Se permite emitir comprobante de percepción (no excepcional) cuando documento de referencia es al crédito o no tiene indicador de forma de pago.</v>
          </cell>
        </row>
        <row r="1440">
          <cell r="A1440" t="str">
            <v>3330</v>
          </cell>
          <cell r="B1440" t="str">
            <v>Solo debe consignar informacion de percepciones si la forma de pago es "Contado"</v>
          </cell>
        </row>
        <row r="1441">
          <cell r="A1441" t="str">
            <v>3331</v>
          </cell>
          <cell r="B1441" t="str">
            <v>El XML no contiene el tag o no existe informacion del tipo de documento identidad del Comprador</v>
          </cell>
        </row>
        <row r="1442">
          <cell r="A1442" t="str">
            <v>3332</v>
          </cell>
          <cell r="B1442" t="str">
            <v>El tipo de documento de identidad del Comprador es invalido</v>
          </cell>
        </row>
        <row r="1443">
          <cell r="A1443" t="str">
            <v>3333</v>
          </cell>
          <cell r="B1443" t="str">
            <v>El XML no contiene el tag o no existe informacion del numero de documento de identidad del Comprador</v>
          </cell>
        </row>
        <row r="1444">
          <cell r="A1444" t="str">
            <v>3334</v>
          </cell>
          <cell r="B1444" t="str">
            <v>El tipo y numero de documento de identidad del Remitente no puede ser es el mismo que el Comprador</v>
          </cell>
        </row>
        <row r="1445">
          <cell r="A1445" t="str">
            <v>3335</v>
          </cell>
          <cell r="B1445" t="str">
            <v>El tipo y numero de documento de identidad del Destinatario no debe ser es el mismo que el Comprador</v>
          </cell>
        </row>
        <row r="1446">
          <cell r="A1446" t="str">
            <v>3336</v>
          </cell>
          <cell r="B1446" t="str">
            <v>Numero de RUC del Comprador no existe</v>
          </cell>
        </row>
        <row r="1447">
          <cell r="A1447" t="str">
            <v>3337</v>
          </cell>
          <cell r="B1447" t="str">
            <v>El valor ingresado como documento de identidad del Comprador es incorrecto</v>
          </cell>
        </row>
        <row r="1448">
          <cell r="A1448" t="str">
            <v>3338</v>
          </cell>
          <cell r="B1448" t="str">
            <v>Numero de DNI del Comprador no existe</v>
          </cell>
        </row>
        <row r="1449">
          <cell r="A1449" t="str">
            <v>3339</v>
          </cell>
          <cell r="B1449" t="str">
            <v>El XML no contiene el tag o no existe informacion del nombre o razon social del Comprador</v>
          </cell>
        </row>
        <row r="1450">
          <cell r="A1450" t="str">
            <v>3340</v>
          </cell>
          <cell r="B1450" t="str">
            <v>El documento relacionado al traslado de mercancias se encuentra duplicado</v>
          </cell>
        </row>
        <row r="1451">
          <cell r="A1451" t="str">
            <v>3341</v>
          </cell>
          <cell r="B1451" t="str">
            <v>No existe el numero de Declaracion Aduanera de Mercancias (DAM) o el Declaracion Simplificada (DS)</v>
          </cell>
        </row>
        <row r="1452">
          <cell r="A1452" t="str">
            <v>3342</v>
          </cell>
          <cell r="B1452" t="str">
            <v>La Constancia de Deposito ingresada ya ha sido referenciada en otra GRE emitida</v>
          </cell>
        </row>
        <row r="1453">
          <cell r="A1453" t="str">
            <v>3343</v>
          </cell>
          <cell r="B1453" t="str">
            <v>La Fecha de inicio del traslado debe ser mayor o igual a la Fecha de emision del documento</v>
          </cell>
        </row>
        <row r="1454">
          <cell r="A1454" t="str">
            <v>3344</v>
          </cell>
          <cell r="B1454" t="str">
            <v>El indicador no debe repetirse</v>
          </cell>
        </row>
        <row r="1455">
          <cell r="A1455" t="str">
            <v>3345</v>
          </cell>
          <cell r="B1455" t="str">
            <v>Solo corresponde ingresar hasta dos 2 documentos relacionados si uno de los tipos de documentos relacionados es "31", "65", "66", "67", "68" o "69"</v>
          </cell>
        </row>
        <row r="1456">
          <cell r="A1456" t="str">
            <v>3346</v>
          </cell>
          <cell r="B1456" t="str">
            <v>Solo corresponde ingresar mas de 1 documento relacionado si uno de los tipos de documentos relacionados es "31", "65", "66", "67", "68" o "69", o "09" (solo guia electronica)</v>
          </cell>
        </row>
        <row r="1457">
          <cell r="A1457" t="str">
            <v>3347</v>
          </cell>
          <cell r="B1457" t="str">
            <v>No debe consignar los datos del transportista para una operacion de Transporte Privado</v>
          </cell>
        </row>
        <row r="1458">
          <cell r="A1458" t="str">
            <v>3348</v>
          </cell>
          <cell r="B1458" t="str">
            <v>El Numero de RUC del Transportista no existe</v>
          </cell>
        </row>
        <row r="1459">
          <cell r="A1459" t="str">
            <v>3349</v>
          </cell>
          <cell r="B1459" t="str">
            <v>El RUC del Transportista no esta activo</v>
          </cell>
        </row>
        <row r="1460">
          <cell r="A1460" t="str">
            <v>3350</v>
          </cell>
          <cell r="B1460" t="str">
            <v>El RUC del Transportista no esta habido</v>
          </cell>
        </row>
        <row r="1461">
          <cell r="A1461" t="str">
            <v>3351</v>
          </cell>
          <cell r="B1461" t="str">
            <v>El RUC del Transportista no esta afecto a los tributos autorizados</v>
          </cell>
        </row>
        <row r="1462">
          <cell r="A1462" t="str">
            <v>3352</v>
          </cell>
          <cell r="B1462" t="str">
            <v>Si ingreso un documento relacionado tipo "49" (solo en caso de GRE-Remitente) u "80", debe existir al menos un item con Partida arancelaria</v>
          </cell>
        </row>
        <row r="1463">
          <cell r="A1463" t="str">
            <v>3353</v>
          </cell>
          <cell r="B1463" t="str">
            <v>Solo debe consignar un Numero de autorizacion</v>
          </cell>
        </row>
        <row r="1464">
          <cell r="A1464" t="str">
            <v>3354</v>
          </cell>
          <cell r="B1464" t="str">
            <v>No debe ingresar informacion de vehiculo principal</v>
          </cell>
        </row>
        <row r="1465">
          <cell r="A1465" t="str">
            <v>3355</v>
          </cell>
          <cell r="B1465" t="str">
            <v>El Numero de Constancia de Inscripcion Vehicular o Certificado de Habilitacion Vehicular o la TUC (fisica o electronica) no cumple con el formato establecido</v>
          </cell>
        </row>
        <row r="1466">
          <cell r="A1466" t="str">
            <v>3356</v>
          </cell>
          <cell r="B1466" t="str">
            <v>Solo debe consignar un Numero de autorizacion del vehiculo</v>
          </cell>
        </row>
        <row r="1467">
          <cell r="A1467" t="str">
            <v>3357</v>
          </cell>
          <cell r="B1467" t="str">
            <v>Debe consignar informacion del conductor principal</v>
          </cell>
        </row>
        <row r="1468">
          <cell r="A1468" t="str">
            <v>3358</v>
          </cell>
          <cell r="B1468" t="str">
            <v>Solo debe existir informacion de un conductor principal</v>
          </cell>
        </row>
        <row r="1469">
          <cell r="A1469" t="str">
            <v>3359</v>
          </cell>
          <cell r="B1469" t="str">
            <v>El numero de DNI del conductor no existe</v>
          </cell>
        </row>
        <row r="1470">
          <cell r="A1470" t="str">
            <v>3360</v>
          </cell>
          <cell r="B1470" t="str">
            <v>Debe consignar informacion de los nombres del conductor</v>
          </cell>
        </row>
        <row r="1471">
          <cell r="A1471" t="str">
            <v>3361</v>
          </cell>
          <cell r="B1471" t="str">
            <v>Debe consignar informacion de los apellidos del conductor</v>
          </cell>
        </row>
        <row r="1472">
          <cell r="A1472" t="str">
            <v>3362</v>
          </cell>
          <cell r="B1472" t="str">
            <v>No debe repetirse la informacion de conductores</v>
          </cell>
        </row>
        <row r="1473">
          <cell r="A1473" t="str">
            <v>3363</v>
          </cell>
          <cell r="B1473" t="str">
            <v>El codigo de ubigeo del punto de partida no existe</v>
          </cell>
        </row>
        <row r="1474">
          <cell r="A1474" t="str">
            <v>3364</v>
          </cell>
          <cell r="B1474" t="str">
            <v>El codigo de ubigeo no corresponde a la direccion del puerto/aeropuerto consignado</v>
          </cell>
        </row>
        <row r="1475">
          <cell r="A1475" t="str">
            <v>3365</v>
          </cell>
          <cell r="B1475" t="str">
            <v>El codigo de establecimiento anexo del punto de partida no existe o no contiene informacion</v>
          </cell>
        </row>
        <row r="1476">
          <cell r="A1476" t="str">
            <v>3366</v>
          </cell>
          <cell r="B1476" t="str">
            <v>El codigo de establecimiento anexo del punto de partida no esta declarado en SUNAT</v>
          </cell>
        </row>
        <row r="1477">
          <cell r="A1477" t="str">
            <v>3367</v>
          </cell>
          <cell r="B1477" t="str">
            <v>El codigo de establecimiento anexo del punto de partida no coincide con el ubigeo de partida consignado</v>
          </cell>
        </row>
        <row r="1478">
          <cell r="A1478" t="str">
            <v>3368</v>
          </cell>
          <cell r="B1478" t="str">
            <v>El codigo de ubigeo del punto de llegada no existe</v>
          </cell>
        </row>
        <row r="1479">
          <cell r="A1479" t="str">
            <v>3369</v>
          </cell>
          <cell r="B1479" t="str">
            <v>El codigo de establecimiento anexo del punto de llegada no existe o no contiene informacion</v>
          </cell>
        </row>
        <row r="1480">
          <cell r="A1480" t="str">
            <v>3370</v>
          </cell>
          <cell r="B1480" t="str">
            <v>El codigo de establecimiento anexo del punto de llegada no esta declarado en SUNAT</v>
          </cell>
        </row>
        <row r="1481">
          <cell r="A1481" t="str">
            <v>3371</v>
          </cell>
          <cell r="B1481" t="str">
            <v>El codigo de establecimiento anexo del punto de llegada no coincide con el ubigeo de llegada consignado</v>
          </cell>
        </row>
        <row r="1482">
          <cell r="A1482" t="str">
            <v>3372</v>
          </cell>
          <cell r="B1482" t="str">
            <v>Si el bien es regulado por SUNAT (existe Indicador de bien normalizado), debe indicar el Codigo de producto SUNAT</v>
          </cell>
        </row>
        <row r="1483">
          <cell r="A1483" t="str">
            <v>3373</v>
          </cell>
          <cell r="B1483" t="str">
            <v>El Codigo de Producto SUNAT no se encuentra en el listado</v>
          </cell>
        </row>
        <row r="1484">
          <cell r="A1484" t="str">
            <v>3374</v>
          </cell>
          <cell r="B1484" t="str">
            <v>No debe consignar el el Tipo de evento</v>
          </cell>
        </row>
        <row r="1485">
          <cell r="A1485" t="str">
            <v>3375</v>
          </cell>
          <cell r="B1485" t="str">
            <v>El Codigo de Producto GTIN no cumple con el formato establecido</v>
          </cell>
        </row>
        <row r="1486">
          <cell r="A1486" t="str">
            <v>3376</v>
          </cell>
          <cell r="B1486" t="str">
            <v>El XML no contiene el tag o no existe informacion del Codigo de tipo de documento relacionado</v>
          </cell>
        </row>
        <row r="1487">
          <cell r="A1487" t="str">
            <v>3377</v>
          </cell>
          <cell r="B1487" t="str">
            <v>La Partida arancelaria no cumple con el formato establecido</v>
          </cell>
        </row>
        <row r="1488">
          <cell r="A1488" t="str">
            <v>3378</v>
          </cell>
          <cell r="B1488" t="str">
            <v>La Partida arancelaria no se encuentra en el listado</v>
          </cell>
        </row>
        <row r="1489">
          <cell r="A1489" t="str">
            <v>3379</v>
          </cell>
          <cell r="B1489" t="str">
            <v>Debe consignar un documento relacionado igual a '49' (solo en caso de GRE-Remitente) u '80' para un traslado que comprende un bien normalizado</v>
          </cell>
        </row>
        <row r="1490">
          <cell r="A1490" t="str">
            <v>3380</v>
          </cell>
          <cell r="B1490" t="str">
            <v>Debe consignar el RUC del emisor del documento relacionado</v>
          </cell>
        </row>
        <row r="1491">
          <cell r="A1491" t="str">
            <v>3381</v>
          </cell>
          <cell r="B1491" t="str">
            <v>El RUC del emisor del documento relacionado no corresponde</v>
          </cell>
        </row>
        <row r="1492">
          <cell r="A1492" t="str">
            <v>3382</v>
          </cell>
          <cell r="B1492" t="str">
            <v>El Tipo de documento del emisor del documento relacionado debe ser Numero de RUC</v>
          </cell>
        </row>
        <row r="1493">
          <cell r="A1493" t="str">
            <v>3383</v>
          </cell>
          <cell r="B1493" t="str">
            <v>Debe consignar el Numero de documento de identidad del Remitente</v>
          </cell>
        </row>
        <row r="1494">
          <cell r="A1494" t="str">
            <v>3384</v>
          </cell>
          <cell r="B1494" t="str">
            <v>El Numero de documento de identidad del Remitente no cumple con el formato establecido</v>
          </cell>
        </row>
        <row r="1495">
          <cell r="A1495" t="str">
            <v>3385</v>
          </cell>
          <cell r="B1495" t="str">
            <v>El Numero de RUC del Remitente no existe</v>
          </cell>
        </row>
        <row r="1496">
          <cell r="A1496" t="str">
            <v>3386</v>
          </cell>
          <cell r="B1496" t="str">
            <v>El Numero de DNI del Remitente no existe</v>
          </cell>
        </row>
        <row r="1497">
          <cell r="A1497" t="str">
            <v>3387</v>
          </cell>
          <cell r="B1497" t="str">
            <v>Debe consignar el Nombre o razon social del Remitente</v>
          </cell>
        </row>
        <row r="1498">
          <cell r="A1498" t="str">
            <v>3388</v>
          </cell>
          <cell r="B1498" t="str">
            <v>El indicador no cumple con el formato establecido</v>
          </cell>
        </row>
        <row r="1499">
          <cell r="A1499" t="str">
            <v>3389</v>
          </cell>
          <cell r="B1499" t="str">
            <v>El Numero de RUC del subcontratador no existe</v>
          </cell>
        </row>
        <row r="1500">
          <cell r="A1500" t="str">
            <v>3390</v>
          </cell>
          <cell r="B1500" t="str">
            <v>El tipo y numero de documento de identidad del subcontratador es el mismo que del Transportista</v>
          </cell>
        </row>
        <row r="1501">
          <cell r="A1501" t="str">
            <v>3391</v>
          </cell>
          <cell r="B1501" t="str">
            <v>El Tipo de documento de identidad del subcontratador debe ser 6-Numero de RUC</v>
          </cell>
        </row>
        <row r="1502">
          <cell r="A1502" t="str">
            <v>3392</v>
          </cell>
          <cell r="B1502" t="str">
            <v>El Indicador de traslado total de la DAM o la DS solo se consigna cuando el motivo de traslado es 08-Importacion o 09 - Exportacion</v>
          </cell>
        </row>
        <row r="1503">
          <cell r="A1503" t="str">
            <v>3393</v>
          </cell>
          <cell r="B1503" t="str">
            <v>El tipo y numero de documento de identidad del Proveedor no debe ser el mismo que del Destinatario</v>
          </cell>
        </row>
        <row r="1504">
          <cell r="A1504" t="str">
            <v>3394</v>
          </cell>
          <cell r="B1504" t="str">
            <v>Si existe mas de una DAM o DS, deben coincidir los tipos y numeros de documento de identidad del importador o exportador consignados en dichos documentos</v>
          </cell>
        </row>
        <row r="1505">
          <cell r="A1505" t="str">
            <v>3395</v>
          </cell>
          <cell r="B1505" t="str">
            <v>Si el motivo de traslado no es 08-Importacion ni 09-Exportacion, no debe consignar el campo 'Peso bruto total de los items seleccionados'</v>
          </cell>
        </row>
        <row r="1506">
          <cell r="A1506" t="str">
            <v>3396</v>
          </cell>
          <cell r="B1506" t="str">
            <v>El Indicador de bien normalizado es invalido</v>
          </cell>
        </row>
        <row r="1507">
          <cell r="A1507" t="str">
            <v>3397</v>
          </cell>
          <cell r="B1507" t="str">
            <v>El dato ingresado como 'Peso bruto total de los items seleccionados' no cumple con el formato establecido</v>
          </cell>
        </row>
        <row r="1508">
          <cell r="A1508" t="str">
            <v>3398</v>
          </cell>
          <cell r="B1508" t="str">
            <v>La unidad de medida del 'Peso bruto total de los items seleccionados' debe ser kilogramos (KGM)</v>
          </cell>
        </row>
        <row r="1509">
          <cell r="A1509" t="str">
            <v>3399</v>
          </cell>
          <cell r="B1509" t="str">
            <v>El Tipo de documento de identidad de quien paga el servicio es invalido</v>
          </cell>
        </row>
        <row r="1510">
          <cell r="A1510" t="str">
            <v>3400</v>
          </cell>
          <cell r="B1510" t="str">
            <v>El Numero de documento de identidad de quien paga el servicio no cumple con el formato establecido</v>
          </cell>
        </row>
        <row r="1511">
          <cell r="A1511" t="str">
            <v>3401</v>
          </cell>
          <cell r="B1511" t="str">
            <v>El Numero de DNI de quien paga el servicio no existe</v>
          </cell>
        </row>
        <row r="1512">
          <cell r="A1512" t="str">
            <v>3402</v>
          </cell>
          <cell r="B1512" t="str">
            <v>El Numero de RUC de quien paga el servicio no existe</v>
          </cell>
        </row>
        <row r="1513">
          <cell r="A1513" t="str">
            <v>3403</v>
          </cell>
          <cell r="B1513" t="str">
            <v>El XML no contiene el tag o no existe informacion del numero de documento relacionado</v>
          </cell>
        </row>
        <row r="1514">
          <cell r="A1514" t="str">
            <v>3404</v>
          </cell>
          <cell r="B1514" t="str">
            <v>El XML no contiene el tag o no existe informacion del motivo de traslado</v>
          </cell>
        </row>
        <row r="1515">
          <cell r="A1515" t="str">
            <v>3405</v>
          </cell>
          <cell r="B1515" t="str">
            <v>El valor ingresado como motivo de traslado no es valido</v>
          </cell>
        </row>
        <row r="1516">
          <cell r="A1516" t="str">
            <v>3406</v>
          </cell>
          <cell r="B1516" t="str">
            <v>El XML no contiene el tag o no existe informacion de la fecha de inicio de traslado o fecha de entrega del bien al Transportista</v>
          </cell>
        </row>
        <row r="1517">
          <cell r="A1517" t="str">
            <v>3407</v>
          </cell>
          <cell r="B1517" t="str">
            <v>El valor ingresado  como fecha de inicio o fecha de entrega al Transportista no cumple con el estandar (YYYY-MM-DD)</v>
          </cell>
        </row>
        <row r="1518">
          <cell r="A1518" t="str">
            <v>3408</v>
          </cell>
          <cell r="B1518" t="str">
            <v>El Numero de RUC del emisor del documento relacionado no existe</v>
          </cell>
        </row>
        <row r="1519">
          <cell r="A1519" t="str">
            <v>3409</v>
          </cell>
          <cell r="B1519" t="str">
            <v>El Numero de RUC no cumple con el formato establecido</v>
          </cell>
        </row>
        <row r="1520">
          <cell r="A1520" t="str">
            <v>3410</v>
          </cell>
          <cell r="B1520" t="str">
            <v>Debe indicar el Numero de RUC al cual pertenece el Codigo de establecimiento anexo del punto de partida/llegada</v>
          </cell>
        </row>
        <row r="1521">
          <cell r="A1521" t="str">
            <v>3411</v>
          </cell>
          <cell r="B1521" t="str">
            <v>El Numero de RUC  asociado al punto de partida/llegada no debe ser el igual al Numero de RUC del remitente</v>
          </cell>
        </row>
        <row r="1522">
          <cell r="A1522" t="str">
            <v>3412</v>
          </cell>
          <cell r="B1522" t="str">
            <v>El Numero de RUC aociado al establecimiento del punto de partida/llegada no existe</v>
          </cell>
        </row>
        <row r="1523">
          <cell r="A1523" t="str">
            <v>3413</v>
          </cell>
          <cell r="B1523" t="str">
            <v>El valor ingresado como Punto de georreferencia no cumple con el formato establecido</v>
          </cell>
        </row>
        <row r="1524">
          <cell r="A1524" t="str">
            <v>3414</v>
          </cell>
          <cell r="B1524" t="str">
            <v>El Numero de RUC  asociado al punto de partida/llegada debe ser el igual al Numero de RUC del remitente</v>
          </cell>
        </row>
        <row r="1525">
          <cell r="A1525" t="str">
            <v>3415</v>
          </cell>
          <cell r="B1525" t="str">
            <v>Si el Motivo de traslado es 09-Exportacion, y el punto de llegada no es un puerto, el Numero de Ruc del establecimiento debe corresponder al numero de RUC del deposito temporal consignado en la DAM o DS</v>
          </cell>
        </row>
        <row r="1526">
          <cell r="A1526" t="str">
            <v>3416</v>
          </cell>
          <cell r="B1526" t="str">
            <v>No corresponde informar codigo de establecimiento del punto de llegada</v>
          </cell>
        </row>
        <row r="1527">
          <cell r="A1527" t="str">
            <v>3417</v>
          </cell>
          <cell r="B1527" t="str">
            <v>Para el motivo de traslado 06 y 17 el tipo de documento de identidad del destinatario debe ser 6-RUC</v>
          </cell>
        </row>
        <row r="1528">
          <cell r="A1528" t="str">
            <v>3418</v>
          </cell>
          <cell r="B1528" t="str">
            <v>Si el motivo de traslado no es 08-Importacion ni 09-Exportacion, no debe consignar el campo 'Sustento de la diferencia del Peso bruto total de la carga'</v>
          </cell>
        </row>
        <row r="1529">
          <cell r="A1529" t="str">
            <v>3419</v>
          </cell>
          <cell r="B1529" t="str">
            <v>Si el Motivo de traslado es 08-Importacion o 09-Exportacion, debe consignar algun 'Numero de contenedor' o el 'Numero de Bultos o Pallets'</v>
          </cell>
        </row>
        <row r="1530">
          <cell r="A1530" t="str">
            <v>3420</v>
          </cell>
          <cell r="B1530" t="str">
            <v>Solo se pueden consignar como maximo dos contenedores</v>
          </cell>
        </row>
        <row r="1531">
          <cell r="A1531" t="str">
            <v>3421</v>
          </cell>
          <cell r="B1531" t="str">
            <v>El Numero de contenedor no debe repetirse</v>
          </cell>
        </row>
        <row r="1532">
          <cell r="A1532" t="str">
            <v>3422</v>
          </cell>
          <cell r="B1532" t="str">
            <v>Si existe Numero de contenedor debe indicarse el Numero de precinto</v>
          </cell>
        </row>
        <row r="1533">
          <cell r="A1533" t="str">
            <v>3423</v>
          </cell>
          <cell r="B1533" t="str">
            <v>El Numero de precinto no debe repetirse</v>
          </cell>
        </row>
        <row r="1534">
          <cell r="A1534" t="str">
            <v>3424</v>
          </cell>
          <cell r="B1534" t="str">
            <v>Si el Motivo de traslado es 08-Importacion, y el punto de partida no es un puerto ni aeropuerto, el Numero de Ruc del establecimiento debe corresponder al numero de RUC del deposito temporal consignado en la DAM o DS</v>
          </cell>
        </row>
        <row r="1535">
          <cell r="A1535" t="str">
            <v>3425</v>
          </cell>
          <cell r="B1535" t="str">
            <v>El Codigo de producto SUNAT no esta en el listado de bienes normalizados</v>
          </cell>
        </row>
        <row r="1536">
          <cell r="A1536" t="str">
            <v>3426</v>
          </cell>
          <cell r="B1536" t="str">
            <v>Si se trata de un bien normalizado por SUNAT, debe indicarse la Partida arancelaria</v>
          </cell>
        </row>
        <row r="1537">
          <cell r="A1537" t="str">
            <v>3427</v>
          </cell>
          <cell r="B1537" t="str">
            <v>Si el Motivo de traslado es 08-Importacion o 09-Exportacion y no es un Traslado Total de la DAM o DS, debe consignar la Numeracion de la DAM o DS</v>
          </cell>
        </row>
        <row r="1538">
          <cell r="A1538" t="str">
            <v>3428</v>
          </cell>
          <cell r="B1538" t="str">
            <v>Si el Motivo de traslado es 08-Importacion o 09-Exportacion y no es un Traslado Total de la DAM o DS, debe consignar la Numero de serie en la DAM o DS</v>
          </cell>
        </row>
        <row r="1539">
          <cell r="A1539" t="str">
            <v>3429</v>
          </cell>
          <cell r="B1539" t="str">
            <v>La Partida arancelaria no esta en el listado de bienes normalizados</v>
          </cell>
        </row>
        <row r="1540">
          <cell r="A1540" t="str">
            <v>3430</v>
          </cell>
          <cell r="B1540" t="str">
            <v>La Numeracion de la DAM o DS no se encuentra consignado como documento relacionado</v>
          </cell>
        </row>
        <row r="1541">
          <cell r="A1541" t="str">
            <v>3431</v>
          </cell>
          <cell r="B1541" t="str">
            <v>El Numero de la serie en la DAM o DS no cumple con el formato establecido</v>
          </cell>
        </row>
        <row r="1542">
          <cell r="A1542" t="str">
            <v>3432</v>
          </cell>
          <cell r="B1542" t="str">
            <v>El Numero de la serie en la DAM o DS no coincide con algun numero de serie de la DAM o DS consignada</v>
          </cell>
        </row>
        <row r="1543">
          <cell r="A1543" t="str">
            <v>3433</v>
          </cell>
          <cell r="B1543" t="str">
            <v>La GRE remitente no existe</v>
          </cell>
        </row>
        <row r="1544">
          <cell r="A1544" t="str">
            <v>3434</v>
          </cell>
          <cell r="B1544" t="str">
            <v>Si existe una GRE Remitente como documento relacionado, el tipo y numero de documento de identidad del Destinatario deben ser los mismos que del destinatario consignado en la GRE Remitente</v>
          </cell>
        </row>
        <row r="1545">
          <cell r="A1545" t="str">
            <v>3435</v>
          </cell>
          <cell r="B1545" t="str">
            <v>Debe consignar el detalle de los bienes a transportar</v>
          </cell>
        </row>
        <row r="1546">
          <cell r="A1546" t="str">
            <v>3436</v>
          </cell>
          <cell r="B1546" t="str">
            <v>El campo de fecha de emision no cumple con el formato establecido</v>
          </cell>
        </row>
        <row r="1547">
          <cell r="A1547" t="str">
            <v>3437</v>
          </cell>
          <cell r="B1547" t="str">
            <v>No existe informacion en el campo de hora de emision</v>
          </cell>
        </row>
        <row r="1548">
          <cell r="A1548" t="str">
            <v>3438</v>
          </cell>
          <cell r="B1548" t="str">
            <v>El campo de hora de emision no cumple con el formato establecido</v>
          </cell>
        </row>
        <row r="1549">
          <cell r="A1549" t="str">
            <v>3439</v>
          </cell>
          <cell r="B1549" t="str">
            <v>El RUC no esta afecto a los tributos autorizados</v>
          </cell>
        </row>
        <row r="1550">
          <cell r="A1550" t="str">
            <v>3440</v>
          </cell>
          <cell r="B1550" t="str">
            <v>No se ha ingresado el tipo Declaracion Aduanera de Mercancias (DAM) o el Declaracion Simplificada (DS)  para el motivo de traslado selecionado</v>
          </cell>
        </row>
        <row r="1551">
          <cell r="A1551" t="str">
            <v>3441</v>
          </cell>
          <cell r="B1551" t="str">
            <v>El numero de documento relacionado al traslado de mercancias no cumple con el formato establecido</v>
          </cell>
        </row>
        <row r="1552">
          <cell r="A1552" t="str">
            <v>3442</v>
          </cell>
          <cell r="B1552" t="str">
            <v>El Numero de RUC del Proveedor debe coincidir con alguno de los Numero de RUC emisor de los documentos relacionados</v>
          </cell>
        </row>
        <row r="1553">
          <cell r="A1553" t="str">
            <v>3443</v>
          </cell>
          <cell r="B1553" t="str">
            <v>El Numero de RUC del Destinatario no existe</v>
          </cell>
        </row>
        <row r="1554">
          <cell r="A1554" t="str">
            <v>3444</v>
          </cell>
          <cell r="B1554" t="str">
            <v>El Numero de DNI del Destinatario no existe</v>
          </cell>
        </row>
        <row r="1555">
          <cell r="A1555" t="str">
            <v>3445</v>
          </cell>
          <cell r="B1555" t="str">
            <v>El tipo de documento relacionado no corresponde para motivo de traslado seleccionado</v>
          </cell>
        </row>
        <row r="1556">
          <cell r="A1556" t="str">
            <v>3446</v>
          </cell>
          <cell r="B1556" t="str">
            <v>El dato ingresado como unidad de medida no corresponde al valor esperado</v>
          </cell>
        </row>
        <row r="1557">
          <cell r="A1557" t="str">
            <v>3447</v>
          </cell>
          <cell r="B1557" t="str">
            <v>El tipo de documento de identidad del Proveedor es invalido</v>
          </cell>
        </row>
        <row r="1558">
          <cell r="A1558" t="str">
            <v>3448</v>
          </cell>
          <cell r="B1558" t="str">
            <v>El tipo y numero de documento de identidad del Remitente no puede ser es el mismo que el Proveedor</v>
          </cell>
        </row>
        <row r="1559">
          <cell r="A1559" t="str">
            <v>3449</v>
          </cell>
          <cell r="B1559" t="str">
            <v>El XML no contiene el tag o no existe informacion del nombre o razon social del Proveedor</v>
          </cell>
        </row>
        <row r="1560">
          <cell r="A1560" t="str">
            <v>3450</v>
          </cell>
          <cell r="B1560" t="str">
            <v>Para la modalidad de traslado Privado no debe consignarse el 'Indicador de registro de vehiculos y conductores del transportista'</v>
          </cell>
        </row>
        <row r="1561">
          <cell r="A1561" t="str">
            <v>3451</v>
          </cell>
          <cell r="B1561" t="str">
            <v>Para la modalidad de traslado Publico no debe consignarse simultaneamente los indicadores 'Indicador de registro de vehiculos y conductores del transportista' e 'Indicador de traslado en vehiculos de categoria M1 o L'</v>
          </cell>
        </row>
        <row r="1562">
          <cell r="A1562" t="str">
            <v>3452</v>
          </cell>
          <cell r="B1562" t="str">
            <v>No debe ingresar informacion adicional de vehiculos (registros y/o autorizaciones)</v>
          </cell>
        </row>
        <row r="1563">
          <cell r="A1563" t="str">
            <v>3453</v>
          </cell>
          <cell r="B1563" t="str">
            <v>No debe ingresar informacion de vehiculos secundarios</v>
          </cell>
        </row>
        <row r="1564">
          <cell r="A1564" t="str">
            <v>3454</v>
          </cell>
          <cell r="B1564" t="str">
            <v>No debe ingresar informacion adicional de vehiculos secundarios</v>
          </cell>
        </row>
        <row r="1565">
          <cell r="A1565" t="str">
            <v>3455</v>
          </cell>
          <cell r="B1565" t="str">
            <v>No debe ingresar informacion del conductor principal</v>
          </cell>
        </row>
        <row r="1566">
          <cell r="A1566" t="str">
            <v>3456</v>
          </cell>
          <cell r="B1566" t="str">
            <v>No debe ingresar informacion del conductores secundarios</v>
          </cell>
        </row>
        <row r="1567">
          <cell r="A1567" t="str">
            <v>3457</v>
          </cell>
          <cell r="B1567" t="str">
            <v>El XML no contiene el atributo o no existe informacion en descripcion del motivo de traslado.</v>
          </cell>
        </row>
        <row r="1568">
          <cell r="A1568" t="str">
            <v>3458</v>
          </cell>
          <cell r="B1568" t="str">
            <v>El numero de item debe ser mayor a cero. Solo se permite colocar cero para consignar una anotacion opcional sobre los bienes a transportar.</v>
          </cell>
        </row>
        <row r="1569">
          <cell r="A1569" t="str">
            <v>3459</v>
          </cell>
          <cell r="B1569" t="str">
            <v>El dato ingresado como codigo del puerto no corresponde a un valor esperado</v>
          </cell>
        </row>
        <row r="1570">
          <cell r="A1570" t="str">
            <v>3460</v>
          </cell>
          <cell r="B1570" t="str">
            <v>El dato ingresado como codigo del aeropuerto no corresponde a un valor esperado</v>
          </cell>
        </row>
        <row r="1571">
          <cell r="A1571" t="str">
            <v>4000</v>
          </cell>
          <cell r="B1571" t="str">
            <v>El documento ya fue presentado anteriormente.</v>
          </cell>
        </row>
        <row r="1572">
          <cell r="A1572" t="str">
            <v>4001</v>
          </cell>
          <cell r="B1572" t="str">
            <v>El numero de RUC del receptor no existe.</v>
          </cell>
        </row>
        <row r="1573">
          <cell r="A1573" t="str">
            <v>4002</v>
          </cell>
          <cell r="B1573" t="str">
            <v>Para el TaxTypeCode, esta usando un valor que no existe en el catalogo.</v>
          </cell>
        </row>
        <row r="1574">
          <cell r="A1574" t="str">
            <v>4003</v>
          </cell>
          <cell r="B1574" t="str">
            <v>El comprobante fue registrado previamente como rechazado.</v>
          </cell>
        </row>
        <row r="1575">
          <cell r="A1575" t="str">
            <v>4004</v>
          </cell>
          <cell r="B1575" t="str">
            <v>El DocumentTypeCode de las guias debe existir y tener 2 posiciones</v>
          </cell>
        </row>
        <row r="1576">
          <cell r="A1576" t="str">
            <v>4005</v>
          </cell>
          <cell r="B1576" t="str">
            <v>El DocumentTypeCode de las guias debe ser 09 o 31</v>
          </cell>
        </row>
        <row r="1577">
          <cell r="A1577" t="str">
            <v>4006</v>
          </cell>
          <cell r="B1577" t="str">
            <v>El ID de las guias debe tener informacion de la SERIE-NUMERO de guia.</v>
          </cell>
        </row>
        <row r="1578">
          <cell r="A1578" t="str">
            <v>4007</v>
          </cell>
          <cell r="B1578" t="str">
            <v>El XML no contiene el ID de las guias.</v>
          </cell>
        </row>
        <row r="1579">
          <cell r="A1579" t="str">
            <v>4008</v>
          </cell>
          <cell r="B1579" t="str">
            <v>El DocumentTypeCode de Otros documentos relacionados no cumple con el estandar.</v>
          </cell>
        </row>
        <row r="1580">
          <cell r="A1580" t="str">
            <v>4009</v>
          </cell>
          <cell r="B1580" t="str">
            <v>El DocumentTypeCode de Otros documentos relacionados tiene valores incorrectos.</v>
          </cell>
        </row>
        <row r="1581">
          <cell r="A1581" t="str">
            <v>4010</v>
          </cell>
          <cell r="B1581" t="str">
            <v>El ID de los documentos relacionados no cumplen con el estandar.</v>
          </cell>
        </row>
        <row r="1582">
          <cell r="A1582" t="str">
            <v>4011</v>
          </cell>
          <cell r="B1582" t="str">
            <v>El XML no contiene el tag ID de documentos relacionados.</v>
          </cell>
        </row>
        <row r="1583">
          <cell r="A1583" t="str">
            <v>4012</v>
          </cell>
          <cell r="B1583" t="str">
            <v>El ubigeo indicado en el comprobante no es el mismo que esta registrado para el contribuyente.</v>
          </cell>
        </row>
        <row r="1584">
          <cell r="A1584" t="str">
            <v>4013</v>
          </cell>
          <cell r="B1584" t="str">
            <v>El RUC  del receptor no esta activo</v>
          </cell>
        </row>
        <row r="1585">
          <cell r="A1585" t="str">
            <v>4014</v>
          </cell>
          <cell r="B1585" t="str">
            <v>El RUC del receptor no esta habido</v>
          </cell>
        </row>
        <row r="1586">
          <cell r="A1586" t="str">
            <v>4015</v>
          </cell>
          <cell r="B1586" t="str">
            <v>Si el tipo de documento del receptor no es RUC, debe tener operaciones de exportacion</v>
          </cell>
        </row>
        <row r="1587">
          <cell r="A1587" t="str">
            <v>4016</v>
          </cell>
          <cell r="B1587" t="str">
            <v>El total valor venta neta de oper. gravadas IGV debe ser mayor a 0.00 o debe existir oper. gravadas onerosas</v>
          </cell>
        </row>
        <row r="1588">
          <cell r="A1588" t="str">
            <v>4017</v>
          </cell>
          <cell r="B1588" t="str">
            <v>El total valor venta neta de oper. inafectas IGV debe ser mayor a 0.00 o debe existir oper. inafectas onerosas o de export.</v>
          </cell>
        </row>
        <row r="1589">
          <cell r="A1589" t="str">
            <v>4018</v>
          </cell>
          <cell r="B1589" t="str">
            <v>El total valor venta neta de oper. exoneradas IGV debe ser mayor a 0.00 o debe existir oper. exoneradas</v>
          </cell>
        </row>
        <row r="1590">
          <cell r="A1590" t="str">
            <v>4019</v>
          </cell>
          <cell r="B1590" t="str">
            <v>El calculo del IGV no es correcto</v>
          </cell>
        </row>
        <row r="1591">
          <cell r="A1591" t="str">
            <v>4020</v>
          </cell>
          <cell r="B1591" t="str">
            <v>El ISC no esta informado correctamente</v>
          </cell>
        </row>
        <row r="1592">
          <cell r="A1592" t="str">
            <v>4021</v>
          </cell>
          <cell r="B1592" t="str">
            <v>Si se utiliza la leyenda con codigo 2000, el importe de percepcion debe ser mayor a 0.00</v>
          </cell>
        </row>
        <row r="1593">
          <cell r="A1593" t="str">
            <v>4022</v>
          </cell>
          <cell r="B1593" t="str">
            <v>Si se utiliza la leyenda con código 2001, el total de operaciones exoneradas debe ser mayor a 0.00</v>
          </cell>
        </row>
        <row r="1594">
          <cell r="A1594" t="str">
            <v>4023</v>
          </cell>
          <cell r="B1594" t="str">
            <v>Si se utiliza la leyenda con código 2002, el total de operaciones exoneradas debe ser mayor a 0.00</v>
          </cell>
        </row>
        <row r="1595">
          <cell r="A1595" t="str">
            <v>4024</v>
          </cell>
          <cell r="B1595" t="str">
            <v>Si se utiliza la leyenda con código 2003, el total de operaciones exoneradas debe ser mayor a 0.00</v>
          </cell>
        </row>
        <row r="1596">
          <cell r="A1596" t="str">
            <v>4025</v>
          </cell>
          <cell r="B1596" t="str">
            <v>Si usa la leyenda de Transferencia o Servivicio gratuito, todos los items deben ser  no onerosos</v>
          </cell>
        </row>
        <row r="1597">
          <cell r="A1597" t="str">
            <v>4026</v>
          </cell>
          <cell r="B1597" t="str">
            <v>No se puede indicar Guia de remision de remitente y Guia de remision de transportista en el mismo documento</v>
          </cell>
        </row>
        <row r="1598">
          <cell r="A1598" t="str">
            <v>4027</v>
          </cell>
          <cell r="B1598" t="str">
            <v>El importe total no coincide con la sumatoria de los valores de venta mas los tributos mas los cargos</v>
          </cell>
        </row>
        <row r="1599">
          <cell r="A1599" t="str">
            <v>4028</v>
          </cell>
          <cell r="B1599" t="str">
            <v>El monto total de la nota de credito debe ser menor o igual al monto de la factura</v>
          </cell>
        </row>
        <row r="1600">
          <cell r="A1600" t="str">
            <v>4029</v>
          </cell>
          <cell r="B1600" t="str">
            <v>El ubigeo indicado en el comprobante no es el mismo que esta registrado para el contribuyente</v>
          </cell>
        </row>
        <row r="1601">
          <cell r="A1601" t="str">
            <v>4030</v>
          </cell>
          <cell r="B1601" t="str">
            <v>El ubigeo indicado en el comprobante no es el mismo que esta registrado para el contribuyente</v>
          </cell>
        </row>
        <row r="1602">
          <cell r="A1602" t="str">
            <v>4031</v>
          </cell>
          <cell r="B1602" t="str">
            <v>Debe indicar el nombre comercial</v>
          </cell>
        </row>
        <row r="1603">
          <cell r="A1603" t="str">
            <v>4032</v>
          </cell>
          <cell r="B1603" t="str">
            <v>Si el código del motivo de emisión de la Nota de Credito es 03, debe existir la descripción del item</v>
          </cell>
        </row>
        <row r="1604">
          <cell r="A1604" t="str">
            <v>4033</v>
          </cell>
          <cell r="B1604" t="str">
            <v>La fecha de generación de la numeración debe ser menor o igual a la fecha de generación de la comunicación</v>
          </cell>
        </row>
        <row r="1605">
          <cell r="A1605" t="str">
            <v>4034</v>
          </cell>
          <cell r="B1605" t="str">
            <v>El comprobante fue registrado previamente como baja</v>
          </cell>
        </row>
        <row r="1606">
          <cell r="A1606" t="str">
            <v>4035</v>
          </cell>
          <cell r="B1606" t="str">
            <v>El comprobante fue registrado previamente como rechazado</v>
          </cell>
        </row>
        <row r="1607">
          <cell r="A1607" t="str">
            <v>4036</v>
          </cell>
          <cell r="B1607" t="str">
            <v>La fecha de emisión de los rangos debe ser menor o igual a la fecha de generación del resumen</v>
          </cell>
        </row>
        <row r="1608">
          <cell r="A1608" t="str">
            <v>4037</v>
          </cell>
          <cell r="B1608" t="str">
            <v>El calculo del Total de IGV del Item no es correcto</v>
          </cell>
        </row>
        <row r="1609">
          <cell r="A1609" t="str">
            <v>4038</v>
          </cell>
          <cell r="B1609" t="str">
            <v>El resumen contiene menos series por tipo de documento que el envío anterior para la misma fecha de emisión</v>
          </cell>
        </row>
        <row r="1610">
          <cell r="A1610" t="str">
            <v>4039</v>
          </cell>
          <cell r="B1610" t="str">
            <v>No ha consignado información del ubigeo del domicilio fiscal</v>
          </cell>
        </row>
        <row r="1611">
          <cell r="A1611" t="str">
            <v>4040</v>
          </cell>
          <cell r="B1611" t="str">
            <v>Si el importe de percepcion es mayor a 0.00, debe utilizar una leyenda con codigo 2000</v>
          </cell>
        </row>
        <row r="1612">
          <cell r="A1612" t="str">
            <v>4041</v>
          </cell>
          <cell r="B1612" t="str">
            <v>El codigo de pais debe ser PE</v>
          </cell>
        </row>
        <row r="1613">
          <cell r="A1613" t="str">
            <v>4042</v>
          </cell>
          <cell r="B1613" t="str">
            <v>Para tipo de operación se está usando un valor que no existe en el catálogo. Nro. 17.</v>
          </cell>
        </row>
        <row r="1614">
          <cell r="A1614" t="str">
            <v>4043</v>
          </cell>
          <cell r="B1614" t="str">
            <v>Para el TransportModeCode, se está usando un valor que no existe en el catálogo Nro. 18.</v>
          </cell>
        </row>
        <row r="1615">
          <cell r="A1615" t="str">
            <v>4044</v>
          </cell>
          <cell r="B1615" t="str">
            <v>PrepaidAmount: Monto total anticipado no coincide con la sumatoria de los montos por documento de anticipo.</v>
          </cell>
        </row>
        <row r="1616">
          <cell r="A1616" t="str">
            <v>4045</v>
          </cell>
          <cell r="B1616" t="str">
            <v>No debe consignar los datos del transportista para la modalidad de transporte 02 - Transporte Privado.</v>
          </cell>
        </row>
        <row r="1617">
          <cell r="A1617" t="str">
            <v>4046</v>
          </cell>
          <cell r="B1617" t="str">
            <v>No debe consignar información adicional en la dirección para los locales anexos.</v>
          </cell>
        </row>
        <row r="1618">
          <cell r="A1618" t="str">
            <v>4047</v>
          </cell>
          <cell r="B1618" t="str">
            <v>sac:SUNATTransaction/cbc:ID debe ser igual a 10 o igual a 11 cuando ingrese información para sustentar el traslado.</v>
          </cell>
        </row>
        <row r="1619">
          <cell r="A1619" t="str">
            <v>4048</v>
          </cell>
          <cell r="B1619" t="str">
            <v>cac:AdditionalDocumentReference/cbc:DocumentTypeCode - Contiene un valor no valido para documentos relacionado.</v>
          </cell>
        </row>
        <row r="1620">
          <cell r="A1620" t="str">
            <v>4049</v>
          </cell>
          <cell r="B1620" t="str">
            <v>El numero de DNI del receptor no existe.</v>
          </cell>
        </row>
        <row r="1621">
          <cell r="A1621" t="str">
            <v>4050</v>
          </cell>
          <cell r="B1621" t="str">
            <v>El numero de RUC del proveedor no existe.</v>
          </cell>
        </row>
        <row r="1622">
          <cell r="A1622" t="str">
            <v>4051</v>
          </cell>
          <cell r="B1622" t="str">
            <v>El RUC del proveedor no esta activo.</v>
          </cell>
        </row>
        <row r="1623">
          <cell r="A1623" t="str">
            <v>4052</v>
          </cell>
          <cell r="B1623" t="str">
            <v>El RUC del proveedor no esta habido.</v>
          </cell>
        </row>
        <row r="1624">
          <cell r="A1624" t="str">
            <v>4053</v>
          </cell>
          <cell r="B1624" t="str">
            <v>Proveedor no debe ser igual al remitente o destinatario.</v>
          </cell>
        </row>
        <row r="1625">
          <cell r="A1625" t="str">
            <v>4054</v>
          </cell>
          <cell r="B1625" t="str">
            <v>La guía no debe contener datos del proveedor.</v>
          </cell>
        </row>
        <row r="1626">
          <cell r="A1626" t="str">
            <v>4055</v>
          </cell>
          <cell r="B1626" t="str">
            <v>El XML no contiene el atributo o no existe información en descripcion del motivo de traslado.</v>
          </cell>
        </row>
        <row r="1627">
          <cell r="A1627" t="str">
            <v>4056</v>
          </cell>
          <cell r="B1627" t="str">
            <v>El XML no contiene el tag o no existe información en el tag SplitConsignmentIndicator.</v>
          </cell>
        </row>
        <row r="1628">
          <cell r="A1628" t="str">
            <v>4057</v>
          </cell>
          <cell r="B1628" t="str">
            <v>GrossWeightMeasure - El dato ingresado no cumple con el formato establecido.</v>
          </cell>
        </row>
        <row r="1629">
          <cell r="A1629" t="str">
            <v>4058</v>
          </cell>
          <cell r="B1629" t="str">
            <v>cbc:TotalPackageQuantity - El dato ingresado no cumple con el formato establecido.</v>
          </cell>
        </row>
        <row r="1630">
          <cell r="A1630" t="str">
            <v>4059</v>
          </cell>
          <cell r="B1630" t="str">
            <v>Numero de bultos o pallets - información válida para importación.</v>
          </cell>
        </row>
        <row r="1631">
          <cell r="A1631" t="str">
            <v>4060</v>
          </cell>
          <cell r="B1631" t="str">
            <v>La guía no debe contener datos del transportista.</v>
          </cell>
        </row>
        <row r="1632">
          <cell r="A1632" t="str">
            <v>4061</v>
          </cell>
          <cell r="B1632" t="str">
            <v>El numero de RUC del transportista no existe.</v>
          </cell>
        </row>
        <row r="1633">
          <cell r="A1633" t="str">
            <v>4062</v>
          </cell>
          <cell r="B1633" t="str">
            <v>El RUC del transportista no esta activo.</v>
          </cell>
        </row>
        <row r="1634">
          <cell r="A1634" t="str">
            <v>4063</v>
          </cell>
          <cell r="B1634" t="str">
            <v>El RUC del transportista no esta habido.</v>
          </cell>
        </row>
        <row r="1635">
          <cell r="A1635" t="str">
            <v>4064</v>
          </cell>
          <cell r="B1635" t="str">
            <v>/DespatchAdvice/cac:Shipment/cac:ShipmentStage/cac:TransportMeans/cbc:RegistrationNationalityID - El dato ingresado no cumple con el formato establecido.</v>
          </cell>
        </row>
        <row r="1636">
          <cell r="A1636" t="str">
            <v>4065</v>
          </cell>
          <cell r="B1636" t="str">
            <v>cac:TransportMeans/cbc:TransportMeansTypeCode - El valor ingresado como tipo de unidad de transporte es incorrecta.</v>
          </cell>
        </row>
        <row r="1637">
          <cell r="A1637" t="str">
            <v>4066</v>
          </cell>
          <cell r="B1637" t="str">
            <v>El numero de DNI del conductor no existe.</v>
          </cell>
        </row>
        <row r="1638">
          <cell r="A1638" t="str">
            <v>4067</v>
          </cell>
          <cell r="B1638" t="str">
            <v>El XML no contiene el tag o no existe informacion del ubigeo del punto de llegada.</v>
          </cell>
        </row>
        <row r="1639">
          <cell r="A1639" t="str">
            <v>4068</v>
          </cell>
          <cell r="B1639" t="str">
            <v>Direccion de punto de llegada - El dato ingresado no cumple con el formato establecido.</v>
          </cell>
        </row>
        <row r="1640">
          <cell r="A1640" t="str">
            <v>4069</v>
          </cell>
          <cell r="B1640" t="str">
            <v>CityName - El dato ingresado no cumple con el formato establecido.</v>
          </cell>
        </row>
        <row r="1641">
          <cell r="A1641" t="str">
            <v>4070</v>
          </cell>
          <cell r="B1641" t="str">
            <v>District - El dato ingresado no cumple con el formato establecido.</v>
          </cell>
        </row>
        <row r="1642">
          <cell r="A1642" t="str">
            <v>4071</v>
          </cell>
          <cell r="B1642" t="str">
            <v>Numero de Contenedor - El dato ingresado no cumple con el formato establecido.</v>
          </cell>
        </row>
        <row r="1643">
          <cell r="A1643" t="str">
            <v>4072</v>
          </cell>
          <cell r="B1643" t="str">
            <v>Numero de contenedor - información válida para importación.</v>
          </cell>
        </row>
        <row r="1644">
          <cell r="A1644" t="str">
            <v>4073</v>
          </cell>
          <cell r="B1644" t="str">
            <v>TransEquipmentTypeCode - El valor ingresado como tipo de contenedor es incorrecta.</v>
          </cell>
        </row>
        <row r="1645">
          <cell r="A1645" t="str">
            <v>4074</v>
          </cell>
          <cell r="B1645" t="str">
            <v>Numero Precinto - El dato ingresado no cumple con el formato establecido.</v>
          </cell>
        </row>
        <row r="1646">
          <cell r="A1646" t="str">
            <v>4075</v>
          </cell>
          <cell r="B1646" t="str">
            <v>El XML no contiene el tag o no existe informacion del ubigeo del punto de partida.</v>
          </cell>
        </row>
        <row r="1647">
          <cell r="A1647" t="str">
            <v>4076</v>
          </cell>
          <cell r="B1647" t="str">
            <v>Direccion de punto de partida - El dato ingresado no cumple con el formato establecido.</v>
          </cell>
        </row>
        <row r="1648">
          <cell r="A1648" t="str">
            <v>4077</v>
          </cell>
          <cell r="B1648" t="str">
            <v>CityName - El dato ingresado no cumple con el formato establecido.</v>
          </cell>
        </row>
        <row r="1649">
          <cell r="A1649" t="str">
            <v>4078</v>
          </cell>
          <cell r="B1649" t="str">
            <v>District - El dato ingresado no cumple con el formato establecido.</v>
          </cell>
        </row>
        <row r="1650">
          <cell r="A1650" t="str">
            <v>4079</v>
          </cell>
          <cell r="B1650" t="str">
            <v>Código de Puerto o Aeropuerto - El dato ingresado no cumple con el formato establecido.</v>
          </cell>
        </row>
        <row r="1651">
          <cell r="A1651" t="str">
            <v>4080</v>
          </cell>
          <cell r="B1651" t="str">
            <v>Tipo de Puerto o Aeropuerto - El dato ingresado no cumple con el formato establecido.</v>
          </cell>
        </row>
        <row r="1652">
          <cell r="A1652" t="str">
            <v>4081</v>
          </cell>
          <cell r="B1652" t="str">
            <v>El XML No contiene El tag o No existe información del Numero de orden del item.</v>
          </cell>
        </row>
        <row r="1653">
          <cell r="A1653" t="str">
            <v>4082</v>
          </cell>
          <cell r="B1653" t="str">
            <v>Número de Orden del Ítem - El orden del ítem no cumple con el formato establecido.</v>
          </cell>
        </row>
        <row r="1654">
          <cell r="A1654" t="str">
            <v>4083</v>
          </cell>
          <cell r="B1654" t="str">
            <v>Cantidad - El dato ingresado no cumple con el formato establecido.</v>
          </cell>
        </row>
        <row r="1655">
          <cell r="A1655" t="str">
            <v>4084</v>
          </cell>
          <cell r="B1655" t="str">
            <v>Descripción del Ítem - El dato ingresado no cumple con el formato establecido.</v>
          </cell>
        </row>
        <row r="1656">
          <cell r="A1656" t="str">
            <v>4085</v>
          </cell>
          <cell r="B1656" t="str">
            <v>Código del Ítem - El dato ingresado no cumple con el formato establecido.</v>
          </cell>
        </row>
        <row r="1657">
          <cell r="A1657" t="str">
            <v>4086</v>
          </cell>
          <cell r="B1657" t="str">
            <v>El emisor y el cliente son Agentes de percepción de combustible en la fecha de emisión.</v>
          </cell>
        </row>
        <row r="1658">
          <cell r="A1658" t="str">
            <v>4087</v>
          </cell>
          <cell r="B1658" t="str">
            <v>El Comprobante de Pago Electrónico no está Registrado en los Sistemas de la SUNAT.</v>
          </cell>
        </row>
        <row r="1659">
          <cell r="A1659" t="str">
            <v>4088</v>
          </cell>
          <cell r="B1659" t="str">
            <v>El Comprobante de Pago no está autorizado en los Sistemas de la SUNAT.</v>
          </cell>
        </row>
        <row r="1660">
          <cell r="A1660" t="str">
            <v>4089</v>
          </cell>
          <cell r="B1660" t="str">
            <v>La operación con este cliente está excluida del sistema de percepción. Es agente de retención.</v>
          </cell>
        </row>
        <row r="1661">
          <cell r="A1661" t="str">
            <v>4090</v>
          </cell>
          <cell r="B1661" t="str">
            <v>La operación con este cliente está excluida del sistema de percepción. Es entidad exceptuada de la percepción.</v>
          </cell>
        </row>
        <row r="1662">
          <cell r="A1662" t="str">
            <v>4091</v>
          </cell>
          <cell r="B1662" t="str">
            <v>La operación con este proveedor está excluida del sistema de retención. Es agente de percepción, agente de retención o buen contribuyente.</v>
          </cell>
        </row>
        <row r="1663">
          <cell r="A1663" t="str">
            <v>4092</v>
          </cell>
          <cell r="B1663" t="str">
            <v>El nombre comercial del emisor no cumple con el formato establecido</v>
          </cell>
        </row>
        <row r="1664">
          <cell r="A1664" t="str">
            <v>4093</v>
          </cell>
          <cell r="B1664" t="str">
            <v>El codigo de ubigeo del domicilio fiscal del emisor no es válido</v>
          </cell>
        </row>
        <row r="1665">
          <cell r="A1665" t="str">
            <v>4094</v>
          </cell>
          <cell r="B1665" t="str">
            <v>La dirección completa y detallada del domicilio fiscal del emisor no cumple con el formato establecido</v>
          </cell>
        </row>
        <row r="1666">
          <cell r="A1666" t="str">
            <v>4095</v>
          </cell>
          <cell r="B1666" t="str">
            <v>La urbanización del domicilio fiscal del emisor no cumple con el formato establecido</v>
          </cell>
        </row>
        <row r="1667">
          <cell r="A1667" t="str">
            <v>4096</v>
          </cell>
          <cell r="B1667" t="str">
            <v>La provincia del domicilio fiscal del emisor no cumple con el formato establecido</v>
          </cell>
        </row>
        <row r="1668">
          <cell r="A1668" t="str">
            <v>4097</v>
          </cell>
          <cell r="B1668" t="str">
            <v>El departamento del domicilio fiscal del emisor no cumple con el formato establecido</v>
          </cell>
        </row>
        <row r="1669">
          <cell r="A1669" t="str">
            <v>4098</v>
          </cell>
          <cell r="B1669" t="str">
            <v>El distrito del domicilio fiscal del emisor no cumple con el formato establecido</v>
          </cell>
        </row>
        <row r="1670">
          <cell r="A1670" t="str">
            <v>4099</v>
          </cell>
          <cell r="B1670" t="str">
            <v>El nombre comercial del cliente no cumple con el formato establecido</v>
          </cell>
        </row>
        <row r="1671">
          <cell r="A1671" t="str">
            <v>4100</v>
          </cell>
          <cell r="B1671" t="str">
            <v>El ubigeo del cliente no cumple con el formato establecido o no es válido</v>
          </cell>
        </row>
        <row r="1672">
          <cell r="A1672" t="str">
            <v>4101</v>
          </cell>
          <cell r="B1672" t="str">
            <v>La dirección completa y detallada del domicilio fiscal del cliente no cumple con el formato establecido</v>
          </cell>
        </row>
        <row r="1673">
          <cell r="A1673" t="str">
            <v>4102</v>
          </cell>
          <cell r="B1673" t="str">
            <v>La urbanización del domicilio fiscal del cliente no cumple con el formato establecido</v>
          </cell>
        </row>
        <row r="1674">
          <cell r="A1674" t="str">
            <v>4103</v>
          </cell>
          <cell r="B1674" t="str">
            <v>La provincia del domicilio fiscal del cliente no cumple con el formato establecido</v>
          </cell>
        </row>
        <row r="1675">
          <cell r="A1675" t="str">
            <v>4104</v>
          </cell>
          <cell r="B1675" t="str">
            <v>El departamento del domicilio fiscal del cliente no cumple con el formato establecido</v>
          </cell>
        </row>
        <row r="1676">
          <cell r="A1676" t="str">
            <v>4105</v>
          </cell>
          <cell r="B1676" t="str">
            <v>El distrito del domicilio fiscal del cliente no cumple con el formato establecido</v>
          </cell>
        </row>
        <row r="1677">
          <cell r="A1677" t="str">
            <v>4106</v>
          </cell>
          <cell r="B1677" t="str">
            <v>El nombre comercial del proveedor no cumple con el formato establecido</v>
          </cell>
        </row>
        <row r="1678">
          <cell r="A1678" t="str">
            <v>4107</v>
          </cell>
          <cell r="B1678" t="str">
            <v>El ubigeo del proveedor no cumple con el formato establecido o no es válido</v>
          </cell>
        </row>
        <row r="1679">
          <cell r="A1679" t="str">
            <v>4108</v>
          </cell>
          <cell r="B1679" t="str">
            <v>La dirección completa y detallada del domicilio fiscal del proveedor no cumple con el formato establecido</v>
          </cell>
        </row>
        <row r="1680">
          <cell r="A1680" t="str">
            <v>4109</v>
          </cell>
          <cell r="B1680" t="str">
            <v>La urbanización del domicilio fiscal del proveedor no cumple con el formato establecido</v>
          </cell>
        </row>
        <row r="1681">
          <cell r="A1681" t="str">
            <v>4110</v>
          </cell>
          <cell r="B1681" t="str">
            <v>La provincia del domicilio fiscal del proveedor no cumple con el formato establecido</v>
          </cell>
        </row>
        <row r="1682">
          <cell r="A1682" t="str">
            <v>4111</v>
          </cell>
          <cell r="B1682" t="str">
            <v>El departamento del domicilio fiscal del proveedor no cumple con el formato establecido</v>
          </cell>
        </row>
        <row r="1683">
          <cell r="A1683" t="str">
            <v>4112</v>
          </cell>
          <cell r="B1683" t="str">
            <v>El distrito del domicilio fiscal del proveedor no cumple con el formato establecido</v>
          </cell>
        </row>
        <row r="1684">
          <cell r="A1684" t="str">
            <v>4120</v>
          </cell>
          <cell r="B1684" t="str">
            <v>El XML no contiene o no existe informacion en el tag de  Información que sustenta el traslado.</v>
          </cell>
        </row>
        <row r="1685">
          <cell r="A1685" t="str">
            <v>4121</v>
          </cell>
          <cell r="B1685" t="str">
            <v>Para el tipo de operación no se consigna el tag SUNATEmbededDespatchAdvice de Información de sustento de traslado.</v>
          </cell>
        </row>
        <row r="1686">
          <cell r="A1686" t="str">
            <v>4122</v>
          </cell>
          <cell r="B1686" t="str">
            <v>Factura con información que sustenta el traslado, debe registrar leyenda 2008.</v>
          </cell>
        </row>
        <row r="1687">
          <cell r="A1687" t="str">
            <v>4123</v>
          </cell>
          <cell r="B1687" t="str">
            <v>sac:SUNATEmbededDespatchAdvice - Para Factura Electrónica Remitente no se consigna datos en documento de referencia(cac:OrderReference).</v>
          </cell>
        </row>
        <row r="1688">
          <cell r="A1688" t="str">
            <v>4124</v>
          </cell>
          <cell r="B1688" t="str">
            <v>cac:Shipment - Para Factura Electrónica Remitente debe indicar sujeto que realiza el traslado de bienes (1: Vendendor o 2: Comprador).</v>
          </cell>
        </row>
        <row r="1689">
          <cell r="A1689" t="str">
            <v>4125</v>
          </cell>
          <cell r="B1689" t="str">
            <v>cac:Shipment - Para Factura Electrónica Remitente debe indicar modalidad de transporte para el sustento de traslado de bienes (cbc:TransportModeCode).</v>
          </cell>
        </row>
        <row r="1690">
          <cell r="A1690" t="str">
            <v>4126</v>
          </cell>
          <cell r="B1690" t="str">
            <v>cac:Shipment - Debe indicar fecha de inicio de traslado para el  sustento de traslado de bienes (cac:TransitPeriod/cbc:StartDate).</v>
          </cell>
        </row>
        <row r="1691">
          <cell r="A1691" t="str">
            <v>4127</v>
          </cell>
          <cell r="B1691" t="str">
            <v>cac:Shipment - Para Factura Electrónica Remitente debe indicar el punto de llegada para el sustento de traslado de bienes (cac:DeliveryAddrees).</v>
          </cell>
        </row>
        <row r="1692">
          <cell r="A1692" t="str">
            <v>4128</v>
          </cell>
          <cell r="B1692" t="str">
            <v>cac:Shipment - Para Factura Electrónica Remitente debe indicar el punto de partida para el sustento de traslado de bienes (cac:OriginAddress).</v>
          </cell>
        </row>
        <row r="1693">
          <cell r="A1693" t="str">
            <v>4129</v>
          </cell>
          <cell r="B1693" t="str">
            <v>Para Factura Electrónica Remitente no se consigna indicador de subcontratación (cbc:MarkAttentionIndicator)</v>
          </cell>
        </row>
        <row r="1694">
          <cell r="A1694" t="str">
            <v>4130</v>
          </cell>
          <cell r="B1694" t="str">
            <v>sac:SUNATEmbededDespatchAdvice - Para Factura Electrónica Remitente debe consignar datos en documento de referencia (cac:OrderReference).</v>
          </cell>
        </row>
        <row r="1695">
          <cell r="A1695" t="str">
            <v>4131</v>
          </cell>
          <cell r="B1695" t="str">
            <v>sac:SUNATEmbededDespatchAdvice - Para Factura Electrónica Transportista no se consigna destinatario para el sustento de traslado de bienes (cac:DeliveryCustomerParty).</v>
          </cell>
        </row>
        <row r="1696">
          <cell r="A1696" t="str">
            <v>4132</v>
          </cell>
          <cell r="B1696" t="str">
            <v>cac:Shipment - Para Factura Electrónica Transportista no se consigna sujeto que realiza el traslado (cbc:HandlingCode).</v>
          </cell>
        </row>
        <row r="1697">
          <cell r="A1697" t="str">
            <v>4133</v>
          </cell>
          <cell r="B1697" t="str">
            <v>Para Factura Electrónica Transportista no se consigna peso total de la factura para el sustento de traslado de bienes (cbc:GrossWeightMeasure).</v>
          </cell>
        </row>
        <row r="1698">
          <cell r="A1698" t="str">
            <v>4134</v>
          </cell>
          <cell r="B1698" t="str">
            <v>cac:Shipment - Para Factura Electrónica Transportista no se consigna modalidad de transporte para el sustento de traslado de bienes (cbc:TransportModeCode).</v>
          </cell>
        </row>
        <row r="1699">
          <cell r="A1699" t="str">
            <v>4135</v>
          </cell>
          <cell r="B1699" t="str">
            <v>cac:Shipment - Para Factura Electrónica Transportista no se consigna punto de llegada para el sustento de traslado de bienes (cac:DeliveryAddress).</v>
          </cell>
        </row>
        <row r="1700">
          <cell r="A1700" t="str">
            <v>4136</v>
          </cell>
          <cell r="B1700" t="str">
            <v>cac:Shipment - Para Factura Electrónica Transportista no se consigna punto de partida para el sustento de traslado de bienes (cac:OriginAddress).</v>
          </cell>
        </row>
        <row r="1701">
          <cell r="A1701" t="str">
            <v>4137</v>
          </cell>
          <cell r="B1701" t="str">
            <v>cac:OrderReference - Debe consignar número de  documento de referencia que sustenta el traslado (./cbc:ID).</v>
          </cell>
        </row>
        <row r="1702">
          <cell r="A1702" t="str">
            <v>4138</v>
          </cell>
          <cell r="B1702" t="str">
            <v>cac:OrderReference - Debe consignar tipo de documento de referencia que sustenta el traslado (./cbc:OrderTypeCode).</v>
          </cell>
        </row>
        <row r="1703">
          <cell r="A1703" t="str">
            <v>4139</v>
          </cell>
          <cell r="B1703" t="str">
            <v>cac:OrderReference - Tipo de documento de referencia que sustenta el traslado no válido (01 - Factura o 09 - Guía de Remisión).</v>
          </cell>
        </row>
        <row r="1704">
          <cell r="A1704" t="str">
            <v>4140</v>
          </cell>
          <cell r="B1704" t="str">
            <v>cac:OrderReference - Serie-Numero ingresado en documento de referencia que sustenta el traslado no cumple con el formato establecido.</v>
          </cell>
        </row>
        <row r="1705">
          <cell r="A1705" t="str">
            <v>4141</v>
          </cell>
          <cell r="B1705" t="str">
            <v>cac:OrderReference - Debe consignar RUC emisor del documento de referencia que sustenta el traslado (./cac:DocumentReference/cac:IssuerParty/cac:PartyIdentification/cbc:ID).</v>
          </cell>
        </row>
        <row r="1706">
          <cell r="A1706" t="str">
            <v>4142</v>
          </cell>
          <cell r="B1706" t="str">
            <v>cac:OrderReference -  RUC emisor del documento de referencia que sustenta el traslado no cumple con el formato establecido.</v>
          </cell>
        </row>
        <row r="1707">
          <cell r="A1707" t="str">
            <v>4143</v>
          </cell>
          <cell r="B1707" t="str">
            <v>cac:OrderReference - RUC Emisor de documento de referencia que sustenta el traslado no existe o se encuentra dado de baja.</v>
          </cell>
        </row>
        <row r="1708">
          <cell r="A1708" t="str">
            <v>4144</v>
          </cell>
          <cell r="B1708" t="str">
            <v>cac:OrderReference - Documento de Referencia ingresado no corresponde a un comprobante electrónico declarado y activo en SUNAT.</v>
          </cell>
        </row>
        <row r="1709">
          <cell r="A1709" t="str">
            <v>4145</v>
          </cell>
          <cell r="B1709" t="str">
            <v>cac:OrderReference - Documento de Referencia ingresado no corresponde comprobante autorizado por SUNAT.</v>
          </cell>
        </row>
        <row r="1710">
          <cell r="A1710" t="str">
            <v>4146</v>
          </cell>
          <cell r="B1710" t="str">
            <v>cac:OrderReference - Nombre o razon social del emisodr de referencia que sustenta el traslado de bienes no cumple con un formato válido.</v>
          </cell>
        </row>
        <row r="1711">
          <cell r="A1711" t="str">
            <v>4147</v>
          </cell>
          <cell r="B1711" t="str">
            <v>Debe consignar numero de documento de identidad del destinatario</v>
          </cell>
        </row>
        <row r="1712">
          <cell r="A1712" t="str">
            <v>4148</v>
          </cell>
          <cell r="B1712" t="str">
            <v>Debe consignar tipo de documento de identidad del destinatario</v>
          </cell>
        </row>
        <row r="1713">
          <cell r="A1713" t="str">
            <v>4149</v>
          </cell>
          <cell r="B1713" t="str">
            <v>Tipo de documento de identidad del destinatario no válido (Catálogo N° 06)</v>
          </cell>
        </row>
        <row r="1714">
          <cell r="A1714" t="str">
            <v>4150</v>
          </cell>
          <cell r="B1714" t="str">
            <v>Numero de documento de identidad del destinatario no cumple con un formato válido</v>
          </cell>
        </row>
        <row r="1715">
          <cell r="A1715" t="str">
            <v>4151</v>
          </cell>
          <cell r="B1715" t="str">
            <v>Debe consignar apellidos y nombres, denominación o razón social del destinatario</v>
          </cell>
        </row>
        <row r="1716">
          <cell r="A1716" t="str">
            <v>4152</v>
          </cell>
          <cell r="B1716" t="str">
            <v>Nombre o razon social del destinatario no cumple con un formato válido</v>
          </cell>
        </row>
        <row r="1717">
          <cell r="A1717" t="str">
            <v>4153</v>
          </cell>
          <cell r="B1717" t="str">
            <v>cbc:HandlingCode - Sujeto que realiza el traslado no es valido.</v>
          </cell>
        </row>
        <row r="1718">
          <cell r="A1718" t="str">
            <v>4154</v>
          </cell>
          <cell r="B1718" t="str">
            <v>cbc:GrossWeightMeasure@unitCode: El valor ingresado en la unidad de medida para el peso bruto total no es correcta (KGM).</v>
          </cell>
        </row>
        <row r="1719">
          <cell r="A1719" t="str">
            <v>4155</v>
          </cell>
          <cell r="B1719" t="str">
            <v>GrossWeightMeasure - El valor ingresado no cumple con el estandar.</v>
          </cell>
        </row>
        <row r="1720">
          <cell r="A1720" t="str">
            <v>4156</v>
          </cell>
          <cell r="B1720" t="str">
            <v>Debe ingresar la totalidad de la información requerida al transportista.</v>
          </cell>
        </row>
        <row r="1721">
          <cell r="A1721" t="str">
            <v>4157</v>
          </cell>
          <cell r="B1721" t="str">
            <v>No existe información en el tag datos de conductores.</v>
          </cell>
        </row>
        <row r="1722">
          <cell r="A1722" t="str">
            <v>4158</v>
          </cell>
          <cell r="B1722" t="str">
            <v>No existe información en el tag datos de vehículos.</v>
          </cell>
        </row>
        <row r="1723">
          <cell r="A1723" t="str">
            <v>4159</v>
          </cell>
          <cell r="B1723" t="str">
            <v>No es necesario consignar los datos del transportista para una operación de Transporte Privado.</v>
          </cell>
        </row>
        <row r="1724">
          <cell r="A1724" t="str">
            <v>4160</v>
          </cell>
          <cell r="B1724" t="str">
            <v>cac:CarrierParty: Debe consignar número de  documento de identidad del transportista.</v>
          </cell>
        </row>
        <row r="1725">
          <cell r="A1725" t="str">
            <v>4161</v>
          </cell>
          <cell r="B1725" t="str">
            <v>cac:CarrierParty: Debe consignar tipo de documento de identidad del transportista.</v>
          </cell>
        </row>
        <row r="1726">
          <cell r="A1726" t="str">
            <v>4162</v>
          </cell>
          <cell r="B1726" t="str">
            <v>cac:CarrierParty: Tipo de documento de identidad del transportista debe ser 6-RUC</v>
          </cell>
        </row>
        <row r="1727">
          <cell r="A1727" t="str">
            <v>4163</v>
          </cell>
          <cell r="B1727" t="str">
            <v>cac:CarrierParty: Numero de documento de identidad del transportista no cumple con un formato válido.</v>
          </cell>
        </row>
        <row r="1728">
          <cell r="A1728" t="str">
            <v>4164</v>
          </cell>
          <cell r="B1728" t="str">
            <v>cac:CarrierParty: Debe consignar apellidos y nombres, denominación o razón social del transportista.</v>
          </cell>
        </row>
        <row r="1729">
          <cell r="A1729" t="str">
            <v>4165</v>
          </cell>
          <cell r="B1729" t="str">
            <v>cac:CarrierParty: nombre o razon social del transportista no cumple con un formato válido.</v>
          </cell>
        </row>
        <row r="1730">
          <cell r="A1730" t="str">
            <v>4166</v>
          </cell>
          <cell r="B1730" t="str">
            <v>cac: TransportHandlingUnit: Numero de placa (cbc:ID) no coincide con el numero de placa del vehiculo prinicipal.</v>
          </cell>
        </row>
        <row r="1731">
          <cell r="A1731" t="str">
            <v>4167</v>
          </cell>
          <cell r="B1731" t="str">
            <v>cac:RoadTransport/cbc:LicensePlateID: Numero de placa del vehículo no cumple con el formato válido.</v>
          </cell>
        </row>
        <row r="1732">
          <cell r="A1732" t="str">
            <v>4168</v>
          </cell>
          <cell r="B1732" t="str">
            <v>cac: TransportHandlingUnit: Numero de placa del vehículo principal no existe o no cumple con el formato válido (cbc:ID).</v>
          </cell>
        </row>
        <row r="1733">
          <cell r="A1733" t="str">
            <v>4169</v>
          </cell>
          <cell r="B1733" t="str">
            <v>cac:TransportEquipment: debe consignar al menos un vehiculo secundario.</v>
          </cell>
        </row>
        <row r="1734">
          <cell r="A1734" t="str">
            <v>4170</v>
          </cell>
          <cell r="B1734" t="str">
            <v>cac:TransportEquipment: Numero de placa del vehículo secundario no cumple con el formato válido (cbc:ID).</v>
          </cell>
        </row>
        <row r="1735">
          <cell r="A1735" t="str">
            <v>4171</v>
          </cell>
          <cell r="B1735" t="str">
            <v>cac:DriverPerson: Debe consignar número de  documento de identidad del conductor (cbc:ID).</v>
          </cell>
        </row>
        <row r="1736">
          <cell r="A1736" t="str">
            <v>4172</v>
          </cell>
          <cell r="B1736" t="str">
            <v>cac:DriverPerson: Debe consignar tipo de documento de identidad del conductor (cbc:ID/@schemeID).</v>
          </cell>
        </row>
        <row r="1737">
          <cell r="A1737" t="str">
            <v>4173</v>
          </cell>
          <cell r="B1737" t="str">
            <v>cac:DriverPerson: Tipo de documento de identidad del conductor no válido (Catalogo Nro 06).</v>
          </cell>
        </row>
        <row r="1738">
          <cell r="A1738" t="str">
            <v>4174</v>
          </cell>
          <cell r="B1738" t="str">
            <v>cac:DriverPerson: Numero de documento de identidad del conductor no cumple con el formato válido.</v>
          </cell>
        </row>
        <row r="1739">
          <cell r="A1739" t="str">
            <v>4175</v>
          </cell>
          <cell r="B1739" t="str">
            <v>cac:DeliveryAddress: Debe consignar código de ubigeo de punto de llegada (cbc:ID).</v>
          </cell>
        </row>
        <row r="1740">
          <cell r="A1740" t="str">
            <v>4176</v>
          </cell>
          <cell r="B1740" t="str">
            <v>El dato ingresado como código de ubigeo de punto de llegada no corresponde a un valor esperado (catalogo nro 13).</v>
          </cell>
        </row>
        <row r="1741">
          <cell r="A1741" t="str">
            <v>4177</v>
          </cell>
          <cell r="B1741" t="str">
            <v>cac:DeliveryAddress: Debe consignar código de ubigeo válido (Catálogo N° 13).</v>
          </cell>
        </row>
        <row r="1742">
          <cell r="A1742" t="str">
            <v>4178</v>
          </cell>
          <cell r="B1742" t="str">
            <v>cac:DeliveryAddress: Debe consignar Dirección del punto de llegada (cbc:StreetName).</v>
          </cell>
        </row>
        <row r="1743">
          <cell r="A1743" t="str">
            <v>4179</v>
          </cell>
          <cell r="B1743" t="str">
            <v>cac:DeliveryAddress: Dirección completa y detallada del punto de llegada no cumple con el formato válido.</v>
          </cell>
        </row>
        <row r="1744">
          <cell r="A1744" t="str">
            <v>4180</v>
          </cell>
          <cell r="B1744" t="str">
            <v>cac:OriginAddress: Debe consignar código de ubigeo de punto de partida (cbc:ID).</v>
          </cell>
        </row>
        <row r="1745">
          <cell r="A1745" t="str">
            <v>4181</v>
          </cell>
          <cell r="B1745" t="str">
            <v>El dato ingresado como código de ubigeo de punto de partida no corresponde a un valor esperado (catalogo nro 13).</v>
          </cell>
        </row>
        <row r="1746">
          <cell r="A1746" t="str">
            <v>4182</v>
          </cell>
          <cell r="B1746" t="str">
            <v>cac:OriginAddress: Debe consignar código de ubigeo válido (Catálogo N° 13).</v>
          </cell>
        </row>
        <row r="1747">
          <cell r="A1747" t="str">
            <v>4183</v>
          </cell>
          <cell r="B1747" t="str">
            <v>cac:OriginAddress: Debe consignar Dirección detallada del punto de partida (cbc:StreetName).</v>
          </cell>
        </row>
        <row r="1748">
          <cell r="A1748" t="str">
            <v>4184</v>
          </cell>
          <cell r="B1748" t="str">
            <v>cac:OriginAddres: Dirección completa y detallada del punto de partida no cumple con el estandar.</v>
          </cell>
        </row>
        <row r="1749">
          <cell r="A1749" t="str">
            <v>4185</v>
          </cell>
          <cell r="B1749" t="str">
            <v>cac:OrderReference - Serie y numero no se encuentra registrado como baja por cambio de destinatario.</v>
          </cell>
        </row>
        <row r="1750">
          <cell r="A1750" t="str">
            <v>4186</v>
          </cell>
          <cell r="B1750" t="str">
            <v>cbc:Note - El campo observaciones supera la cantidad maxima especificada (250 carácteres).</v>
          </cell>
        </row>
        <row r="1751">
          <cell r="A1751" t="str">
            <v>4187</v>
          </cell>
          <cell r="B1751" t="str">
            <v>cac:OrderReference - El campo Tipo de documento (descripción) supera la cantidad maxima especificada (50 carácteres).</v>
          </cell>
        </row>
        <row r="1752">
          <cell r="A1752" t="str">
            <v>4188</v>
          </cell>
          <cell r="B1752" t="str">
            <v>El XML no contiene el atributo o no existe información del nombre o razon social del tercero relacionado.</v>
          </cell>
        </row>
        <row r="1753">
          <cell r="A1753" t="str">
            <v>4189</v>
          </cell>
          <cell r="B1753" t="str">
            <v>El valor ingresado como tipo de documento del nombre o razon social del tercero relacionado es incorrecto.</v>
          </cell>
        </row>
        <row r="1754">
          <cell r="A1754" t="str">
            <v>4190</v>
          </cell>
          <cell r="B1754" t="str">
            <v>El valor ingresado como descripcion de motivo de traslado no cumple con el estandar.</v>
          </cell>
        </row>
        <row r="1755">
          <cell r="A1755" t="str">
            <v>4191</v>
          </cell>
          <cell r="B1755" t="str">
            <v>Para el motivo de traslado, no se consigna información en el numero de DAM.</v>
          </cell>
        </row>
        <row r="1756">
          <cell r="A1756" t="str">
            <v>4192</v>
          </cell>
          <cell r="B1756" t="str">
            <v>Para el motivo de traslado, no se consigna información del manifiesto de carga.</v>
          </cell>
        </row>
        <row r="1757">
          <cell r="A1757" t="str">
            <v>4193</v>
          </cell>
          <cell r="B1757" t="str">
            <v>El valor ingresado como indicador de transbordo programado no cumple con el estandar.</v>
          </cell>
        </row>
        <row r="1758">
          <cell r="A1758" t="str">
            <v>4194</v>
          </cell>
          <cell r="B1758" t="str">
            <v>El XML no contiene el atributo o no existe información en peso bruto total de la guia.</v>
          </cell>
        </row>
        <row r="1759">
          <cell r="A1759" t="str">
            <v>4195</v>
          </cell>
          <cell r="B1759" t="str">
            <v>Numero de bultos o pallets es una información válida solo para importación.</v>
          </cell>
        </row>
        <row r="1760">
          <cell r="A1760" t="str">
            <v>4196</v>
          </cell>
          <cell r="B1760" t="str">
            <v>La fecha de recepción en SUNAT es mayor a 1 hora(s) respecto a la fecha de comprobación por OSE</v>
          </cell>
        </row>
        <row r="1761">
          <cell r="A1761" t="str">
            <v>4197</v>
          </cell>
          <cell r="B1761" t="str">
            <v>IssueTime - El dato ingresado  no cumple con el patrón hh:mm:ss.sssss</v>
          </cell>
        </row>
        <row r="1762">
          <cell r="A1762" t="str">
            <v>4198</v>
          </cell>
          <cell r="B1762" t="str">
            <v>El XML no contiene el tag o no existe información del código de local anexo del emisor</v>
          </cell>
        </row>
        <row r="1763">
          <cell r="A1763" t="str">
            <v>4199</v>
          </cell>
          <cell r="B1763" t="str">
            <v>El código de local anexo consignado no se encuentra declarado en el RUC</v>
          </cell>
        </row>
        <row r="1764">
          <cell r="A1764" t="str">
            <v>4200</v>
          </cell>
          <cell r="B1764" t="str">
            <v>Debe corresponder a algún valor válido establecido en el catálogo 13</v>
          </cell>
        </row>
        <row r="1765">
          <cell r="A1765" t="str">
            <v>4201</v>
          </cell>
          <cell r="B1765" t="str">
            <v>EL monto del ISC se debe detallar a nivel de línea</v>
          </cell>
        </row>
        <row r="1766">
          <cell r="A1766" t="str">
            <v>4202</v>
          </cell>
          <cell r="B1766" t="str">
            <v>El valor ingresado como numero de DAM no cumple con el estandar</v>
          </cell>
        </row>
        <row r="1767">
          <cell r="A1767" t="str">
            <v>4203</v>
          </cell>
          <cell r="B1767" t="str">
            <v>El dato ingresado en VoidReasonDescription debe contener información válida</v>
          </cell>
        </row>
        <row r="1768">
          <cell r="A1768" t="str">
            <v>4204</v>
          </cell>
          <cell r="B1768" t="str">
            <v>Comprobante físico no se encuentra autorizado como comprobante de contingencia</v>
          </cell>
        </row>
        <row r="1769">
          <cell r="A1769" t="str">
            <v>4207</v>
          </cell>
          <cell r="B1769" t="str">
            <v>El DNI debe tener 8 caracteres numéricos</v>
          </cell>
        </row>
        <row r="1770">
          <cell r="A1770" t="str">
            <v>4208</v>
          </cell>
          <cell r="B1770" t="str">
            <v>El dato ingresado como numero de documento de identidad del receptor no cumple con el formato establecido</v>
          </cell>
        </row>
        <row r="1771">
          <cell r="A1771" t="str">
            <v>4209</v>
          </cell>
          <cell r="B1771" t="str">
            <v>El dato ingresado no cumple con el formato establecido</v>
          </cell>
        </row>
        <row r="1772">
          <cell r="A1772" t="str">
            <v>4210</v>
          </cell>
          <cell r="B1772" t="str">
            <v>Vendedor supera el monto permitido para la emision de una liquidacion de compra</v>
          </cell>
        </row>
        <row r="1773">
          <cell r="A1773" t="str">
            <v>4211</v>
          </cell>
          <cell r="B1773" t="str">
            <v>El importe del campo /cac:LegalMonetaryTotal/cbc:TaxInclusiveAmount no coincide con el valor calculado</v>
          </cell>
        </row>
        <row r="1774">
          <cell r="A1774" t="str">
            <v>4212</v>
          </cell>
          <cell r="B1774" t="str">
            <v>Debe consignar el Total Valor de Venta</v>
          </cell>
        </row>
        <row r="1775">
          <cell r="A1775" t="str">
            <v>4230</v>
          </cell>
          <cell r="B1775" t="str">
            <v xml:space="preserve">El comprobante tiene observaciones que no han sido detectados </v>
          </cell>
        </row>
        <row r="1776">
          <cell r="A1776" t="str">
            <v>4231</v>
          </cell>
          <cell r="B1776" t="str">
            <v>El código de Ubigeo no existe en el listado.</v>
          </cell>
        </row>
        <row r="1777">
          <cell r="A1777" t="str">
            <v>4232</v>
          </cell>
          <cell r="B1777" t="str">
            <v>La sumatoria de los IGV de línea no corresponden al total</v>
          </cell>
        </row>
        <row r="1778">
          <cell r="A1778" t="str">
            <v>4233</v>
          </cell>
          <cell r="B1778" t="str">
            <v>El dato ingresado en order de compra no cumple con el formato establecido.</v>
          </cell>
        </row>
        <row r="1779">
          <cell r="A1779" t="str">
            <v>4234</v>
          </cell>
          <cell r="B1779" t="str">
            <v>El código de producto no cumple con el formato establecido</v>
          </cell>
        </row>
        <row r="1780">
          <cell r="A1780" t="str">
            <v>4235</v>
          </cell>
          <cell r="B1780" t="str">
            <v>No existe información en el nombre del concepto.</v>
          </cell>
        </row>
        <row r="1781">
          <cell r="A1781" t="str">
            <v>4236</v>
          </cell>
          <cell r="B1781" t="str">
            <v>El dato ingresado como direccion completa y detallada no cumple con el formato establecido.</v>
          </cell>
        </row>
        <row r="1782">
          <cell r="A1782" t="str">
            <v>4237</v>
          </cell>
          <cell r="B1782" t="str">
            <v>La tasa del tributo de la línea no corresponde al valor esperado</v>
          </cell>
        </row>
        <row r="1783">
          <cell r="A1783" t="str">
            <v>4238</v>
          </cell>
          <cell r="B1783" t="str">
            <v>El dato ingresado como urbanización no cumple con el formato establecido</v>
          </cell>
        </row>
        <row r="1784">
          <cell r="A1784" t="str">
            <v>4239</v>
          </cell>
          <cell r="B1784" t="str">
            <v>El dato ingresado como provincia no cumple con el formato establecido</v>
          </cell>
        </row>
        <row r="1785">
          <cell r="A1785" t="str">
            <v>4240</v>
          </cell>
          <cell r="B1785" t="str">
            <v>El dato ingresado como departamento no cumple con el formato establecido</v>
          </cell>
        </row>
        <row r="1786">
          <cell r="A1786" t="str">
            <v>4241</v>
          </cell>
          <cell r="B1786" t="str">
            <v>El dato ingresado como distrito no cumple con el formato establecido</v>
          </cell>
        </row>
        <row r="1787">
          <cell r="A1787" t="str">
            <v>4242</v>
          </cell>
          <cell r="B1787" t="str">
            <v>El dato ingresado como local anexo no cumple con el formato establecido</v>
          </cell>
        </row>
        <row r="1788">
          <cell r="A1788" t="str">
            <v>4243</v>
          </cell>
          <cell r="B1788" t="str">
            <v>Si se utiliza la leyenda con código 2007, el total de operaciones exoneradas debe ser mayor a 0.00</v>
          </cell>
        </row>
        <row r="1789">
          <cell r="A1789" t="str">
            <v>4244</v>
          </cell>
          <cell r="B1789" t="str">
            <v>Si se utiliza la leyenda con código 2008, el total de operaciones exoneradas debe ser mayor a 0.00</v>
          </cell>
        </row>
        <row r="1790">
          <cell r="A1790" t="str">
            <v>4245</v>
          </cell>
          <cell r="B1790" t="str">
            <v>El dato ingresado como tipo de operación no corresponde a un valor esperado (catálogo nro. 51)</v>
          </cell>
        </row>
        <row r="1791">
          <cell r="A1791" t="str">
            <v>4246</v>
          </cell>
          <cell r="B1791" t="str">
            <v>El comprobante contiene un identificador de pago repetido en los anticipos</v>
          </cell>
        </row>
        <row r="1792">
          <cell r="A1792" t="str">
            <v>4247</v>
          </cell>
          <cell r="B1792" t="str">
            <v>El comprobante contiene un identificador de pago no relacionado a un documento de anticipo</v>
          </cell>
        </row>
        <row r="1793">
          <cell r="A1793" t="str">
            <v>4248</v>
          </cell>
          <cell r="B1793" t="str">
            <v>El comprobante contiene mas de un documento de anticipo relacionado al mismo identificador de pago.</v>
          </cell>
        </row>
        <row r="1794">
          <cell r="A1794" t="str">
            <v>4249</v>
          </cell>
          <cell r="B1794" t="str">
            <v>El código de motivo de traslado no existe en el listado (catalogo nro. 20)</v>
          </cell>
        </row>
        <row r="1795">
          <cell r="A1795" t="str">
            <v>4250</v>
          </cell>
          <cell r="B1795" t="str">
            <v>El dato ingresado como schemeAgencyName es incorrecto.</v>
          </cell>
        </row>
        <row r="1796">
          <cell r="A1796" t="str">
            <v>4251</v>
          </cell>
          <cell r="B1796" t="str">
            <v>El dato ingresado como atributo @listAgencyName es incorrecto.</v>
          </cell>
        </row>
        <row r="1797">
          <cell r="A1797" t="str">
            <v>4252</v>
          </cell>
          <cell r="B1797" t="str">
            <v>El dato ingresado como atributo @listName es incorrecto.</v>
          </cell>
        </row>
        <row r="1798">
          <cell r="A1798" t="str">
            <v>4253</v>
          </cell>
          <cell r="B1798" t="str">
            <v>El dato ingresado como atributo @listURI es incorrecto.</v>
          </cell>
        </row>
        <row r="1799">
          <cell r="A1799" t="str">
            <v>4254</v>
          </cell>
          <cell r="B1799" t="str">
            <v>El dato ingresado como atributo @listID es incorrecto.</v>
          </cell>
        </row>
        <row r="1800">
          <cell r="A1800" t="str">
            <v>4255</v>
          </cell>
          <cell r="B1800" t="str">
            <v>El dato ingresado como atributo @schemeName es incorrecto.</v>
          </cell>
        </row>
        <row r="1801">
          <cell r="A1801" t="str">
            <v>4256</v>
          </cell>
          <cell r="B1801" t="str">
            <v>El dato ingresado como atributo @schemeAgencyName es incorrecto.</v>
          </cell>
        </row>
        <row r="1802">
          <cell r="A1802" t="str">
            <v>4257</v>
          </cell>
          <cell r="B1802" t="str">
            <v>El dato ingresado como atributo @schemeURI es incorrecto.</v>
          </cell>
        </row>
        <row r="1803">
          <cell r="A1803" t="str">
            <v>4258</v>
          </cell>
          <cell r="B1803" t="str">
            <v>El dato ingresado como atributo @unitCodeListID es incorrecto.</v>
          </cell>
        </row>
        <row r="1804">
          <cell r="A1804" t="str">
            <v>4259</v>
          </cell>
          <cell r="B1804" t="str">
            <v>El dato ingresado como atributo @unitCodeListAgencyName es incorrecto.</v>
          </cell>
        </row>
        <row r="1805">
          <cell r="A1805" t="str">
            <v>4260</v>
          </cell>
          <cell r="B1805" t="str">
            <v>El dato ingresado como atributo @name es incorrecto.</v>
          </cell>
        </row>
        <row r="1806">
          <cell r="A1806" t="str">
            <v>4261</v>
          </cell>
          <cell r="B1806" t="str">
            <v>El dato ingresado como atributo @listSchemeURI es incorrecto.</v>
          </cell>
        </row>
        <row r="1807">
          <cell r="A1807" t="str">
            <v>4262</v>
          </cell>
          <cell r="B1807" t="str">
            <v>El XML no contiene el atributo o no existe lugar donde se entrega el bien para venta itinerante</v>
          </cell>
        </row>
        <row r="1808">
          <cell r="A1808" t="str">
            <v>4263</v>
          </cell>
          <cell r="B1808" t="str">
            <v xml:space="preserve">Si no es una venta itinerante, no corresponde consignar lugar donde se entrega el bien </v>
          </cell>
        </row>
        <row r="1809">
          <cell r="A1809" t="str">
            <v>4264</v>
          </cell>
          <cell r="B1809" t="str">
            <v>El XML no contiene el codigo de leyenda 2007 para el tipo de operación IVAP</v>
          </cell>
        </row>
        <row r="1810">
          <cell r="A1810" t="str">
            <v>4265</v>
          </cell>
          <cell r="B1810" t="str">
            <v>El XML no contiene el codigo de leyenda 2006 para tipo de operación de detracciones</v>
          </cell>
        </row>
        <row r="1811">
          <cell r="A1811" t="str">
            <v>4266</v>
          </cell>
          <cell r="B1811" t="str">
            <v>El XML no contiene el codigo de leyenda 2005 para el tipo de operación Venta itinerante</v>
          </cell>
        </row>
        <row r="1812">
          <cell r="A1812" t="str">
            <v>4267</v>
          </cell>
          <cell r="B1812" t="str">
            <v>El dato ingresado como codigo de producto GS1 no cumple con el formato establecido</v>
          </cell>
        </row>
        <row r="1813">
          <cell r="A1813" t="str">
            <v>4268</v>
          </cell>
          <cell r="B1813" t="str">
            <v>El dato ingresado como cargo/descuento no es valido a nivel de ítem.</v>
          </cell>
        </row>
        <row r="1814">
          <cell r="A1814" t="str">
            <v>4269</v>
          </cell>
          <cell r="B1814" t="str">
            <v>El dato ingresado como codigo de producto no cumple con el formato establecido.</v>
          </cell>
        </row>
        <row r="1815">
          <cell r="A1815" t="str">
            <v>4270</v>
          </cell>
          <cell r="B1815" t="str">
            <v>El dato ingresado como detalle del viaje no cumple con el formato establecido.</v>
          </cell>
        </row>
        <row r="1816">
          <cell r="A1816" t="str">
            <v>4271</v>
          </cell>
          <cell r="B1816" t="str">
            <v>El dato ingresado como descripcion del tramo no cumple con el formato establecido.</v>
          </cell>
        </row>
        <row r="1817">
          <cell r="A1817" t="str">
            <v>4272</v>
          </cell>
          <cell r="B1817" t="str">
            <v>El dato ingresado como valor refrencia del tramo virtual no cumple con el formato establecido.</v>
          </cell>
        </row>
        <row r="1818">
          <cell r="A1818" t="str">
            <v>4273</v>
          </cell>
          <cell r="B1818" t="str">
            <v>El dato ingresado como configuración vehicular no cumple con el formato establecido.</v>
          </cell>
        </row>
        <row r="1819">
          <cell r="A1819" t="str">
            <v>4274</v>
          </cell>
          <cell r="B1819" t="str">
            <v>El dato ingresado como tipo de carga util es incorrecto.</v>
          </cell>
        </row>
        <row r="1820">
          <cell r="A1820" t="str">
            <v>4275</v>
          </cell>
          <cell r="B1820" t="str">
            <v>El XML no contiene el tag o no existe información del valor de la carga en TM.</v>
          </cell>
        </row>
        <row r="1821">
          <cell r="A1821" t="str">
            <v>4276</v>
          </cell>
          <cell r="B1821" t="str">
            <v>El dato ingresado como valor de la carga en TM cumple con el formato establecido.</v>
          </cell>
        </row>
        <row r="1822">
          <cell r="A1822" t="str">
            <v>4277</v>
          </cell>
          <cell r="B1822" t="str">
            <v>El dato ingresado como unidad de medida de la carga  del vehiculo no corresponde al valor esperado.</v>
          </cell>
        </row>
        <row r="1823">
          <cell r="A1823" t="str">
            <v>4278</v>
          </cell>
          <cell r="B1823" t="str">
            <v>El dato ingresado como valor referencial de carga util nominal no cumple con el formato establecido.</v>
          </cell>
        </row>
        <row r="1824">
          <cell r="A1824" t="str">
            <v>4279</v>
          </cell>
          <cell r="B1824" t="str">
            <v>El dato ingresado como codigo de identificación de concepto tributario no es valido (catalogo nro 55)</v>
          </cell>
        </row>
        <row r="1825">
          <cell r="A1825" t="str">
            <v>4280</v>
          </cell>
          <cell r="B1825" t="str">
            <v>El dato ingresado como valor del concepto de la linea no cumple con el formato establecido.</v>
          </cell>
        </row>
        <row r="1826">
          <cell r="A1826" t="str">
            <v>4281</v>
          </cell>
          <cell r="B1826" t="str">
            <v>El dato ingresado como cantidad del concepto de la linea no cumple con el formato establecido.</v>
          </cell>
        </row>
        <row r="1827">
          <cell r="A1827" t="str">
            <v>4282</v>
          </cell>
          <cell r="B1827" t="str">
            <v>La fecha de ingreso al establecimiento es mayor a la fecha de salida al establecimiento.</v>
          </cell>
        </row>
        <row r="1828">
          <cell r="A1828" t="str">
            <v>4283</v>
          </cell>
          <cell r="B1828" t="str">
            <v>El dato ingresado como atributo @schemeID es incorrecto.</v>
          </cell>
        </row>
        <row r="1829">
          <cell r="A1829" t="str">
            <v>4284</v>
          </cell>
          <cell r="B1829" t="str">
            <v>El cargo/descuento consignado no es permitido para el tipo de comprobante</v>
          </cell>
        </row>
        <row r="1830">
          <cell r="A1830" t="str">
            <v>4285</v>
          </cell>
          <cell r="B1830" t="str">
            <v>El emisor a la fecha no se encuentra registrado ó habilitado con la condición de Agente de percepción</v>
          </cell>
        </row>
        <row r="1831">
          <cell r="A1831" t="str">
            <v>4286</v>
          </cell>
          <cell r="B1831" t="str">
            <v>Si ha consignado Transporte Publico, debe consignar Datos del transportista.</v>
          </cell>
        </row>
        <row r="1832">
          <cell r="A1832" t="str">
            <v>4287</v>
          </cell>
          <cell r="B1832" t="str">
            <v>El precio unitario de la operación que está informando difiere de los cálculos realizados en base a la información remitida</v>
          </cell>
        </row>
        <row r="1833">
          <cell r="A1833" t="str">
            <v>4288</v>
          </cell>
          <cell r="B1833" t="str">
            <v>El valor de venta por ítem difiere de los importes consignados.</v>
          </cell>
        </row>
        <row r="1834">
          <cell r="A1834" t="str">
            <v>4289</v>
          </cell>
          <cell r="B1834" t="str">
            <v>El valor de cargo/descuento por ítem difiere de los importes consignados.</v>
          </cell>
        </row>
        <row r="1835">
          <cell r="A1835" t="str">
            <v>4290</v>
          </cell>
          <cell r="B1835" t="str">
            <v>El cálculo del IGV es Incorrecto</v>
          </cell>
        </row>
        <row r="1836">
          <cell r="A1836" t="str">
            <v>4291</v>
          </cell>
          <cell r="B1836" t="str">
            <v>El dato ingresado como cargo/descuento no es valido a nivel global.</v>
          </cell>
        </row>
        <row r="1837">
          <cell r="A1837" t="str">
            <v>4292</v>
          </cell>
          <cell r="B1837" t="str">
            <v xml:space="preserve">Sólo hasta el 31.08.2019 se encuentra exceptuado de utilizar la versión 2.1 del estándar UBL </v>
          </cell>
        </row>
        <row r="1838">
          <cell r="A1838" t="str">
            <v>4293</v>
          </cell>
          <cell r="B1838" t="str">
            <v>El importe total de impuestos por línea no coincide con la sumatoria de los impuestos por línea.</v>
          </cell>
        </row>
        <row r="1839">
          <cell r="A1839" t="str">
            <v>4294</v>
          </cell>
          <cell r="B1839" t="str">
            <v>La base imponible a nivel de línea difiere de la información consignada en el comprobante</v>
          </cell>
        </row>
        <row r="1840">
          <cell r="A1840" t="str">
            <v>4295</v>
          </cell>
          <cell r="B1840" t="str">
            <v>La sumatoria del total valor de venta - Exportaciones de línea no corresponden al total</v>
          </cell>
        </row>
        <row r="1841">
          <cell r="A1841" t="str">
            <v>4296</v>
          </cell>
          <cell r="B1841" t="str">
            <v>La sumatoria del total valor de venta - operaciones inafectas de línea no corresponden al total</v>
          </cell>
        </row>
        <row r="1842">
          <cell r="A1842" t="str">
            <v>4297</v>
          </cell>
          <cell r="B1842" t="str">
            <v>La sumatoria del total valor de venta - operaciones exoneradas de línea no corresponden al total</v>
          </cell>
        </row>
        <row r="1843">
          <cell r="A1843" t="str">
            <v>4298</v>
          </cell>
          <cell r="B1843" t="str">
            <v>La sumatoria del total valor de venta - operaciones gratuitas de línea no corresponden al total</v>
          </cell>
        </row>
        <row r="1844">
          <cell r="A1844" t="str">
            <v>4299</v>
          </cell>
          <cell r="B1844" t="str">
            <v>La sumatoria del total valor de venta - operaciones gravadas de línea no corresponden al total</v>
          </cell>
        </row>
        <row r="1845">
          <cell r="A1845" t="str">
            <v>4300</v>
          </cell>
          <cell r="B1845" t="str">
            <v>La sumatoria del total valor de venta - IVAP de línea no corresponden al total</v>
          </cell>
        </row>
        <row r="1846">
          <cell r="A1846" t="str">
            <v>4301</v>
          </cell>
          <cell r="B1846" t="str">
            <v>La sumatoria de impuestos globales no corresponde al monto total de impuestos.</v>
          </cell>
        </row>
        <row r="1847">
          <cell r="A1847" t="str">
            <v>4302</v>
          </cell>
          <cell r="B1847" t="str">
            <v>El importe del IVAP no corresponden al determinado por la informacion consignada.</v>
          </cell>
        </row>
        <row r="1848">
          <cell r="A1848" t="str">
            <v>4303</v>
          </cell>
          <cell r="B1848" t="str">
            <v>La sumatoria del monto base - ISC de línea no corresponden al total</v>
          </cell>
        </row>
        <row r="1849">
          <cell r="A1849" t="str">
            <v>4304</v>
          </cell>
          <cell r="B1849" t="str">
            <v>La sumatoria del monto base - Otros tributos de línea no corresponden al total</v>
          </cell>
        </row>
        <row r="1850">
          <cell r="A1850" t="str">
            <v>4305</v>
          </cell>
          <cell r="B1850" t="str">
            <v>La sumatoria del total del importe del tributo ISC de línea no corresponden al total</v>
          </cell>
        </row>
        <row r="1851">
          <cell r="A1851" t="str">
            <v>4306</v>
          </cell>
          <cell r="B1851" t="str">
            <v>La sumatoria del total del importe del tributo Otros tributos de línea no corresponden al total</v>
          </cell>
        </row>
        <row r="1852">
          <cell r="A1852" t="str">
            <v>4307</v>
          </cell>
          <cell r="B1852" t="str">
            <v>La sumatoria consignados en descuentos globales no corresponden al total.</v>
          </cell>
        </row>
        <row r="1853">
          <cell r="A1853" t="str">
            <v>4308</v>
          </cell>
          <cell r="B1853" t="str">
            <v>La sumatoria consignados en cargos globales no corresponden al total</v>
          </cell>
        </row>
        <row r="1854">
          <cell r="A1854" t="str">
            <v>4309</v>
          </cell>
          <cell r="B1854" t="str">
            <v>La sumatoria de valor de venta no corresponde a los importes consignados</v>
          </cell>
        </row>
        <row r="1855">
          <cell r="A1855" t="str">
            <v>4310</v>
          </cell>
          <cell r="B1855" t="str">
            <v>La sumatoria del Total del valor de venta más los impuestos no concuerda con la base imponible</v>
          </cell>
        </row>
        <row r="1856">
          <cell r="A1856" t="str">
            <v>4311</v>
          </cell>
          <cell r="B1856" t="str">
            <v>La sumatoria de los IGV de operaciones gratuitas de la línea (codigo tributo 9996) no corresponden al total</v>
          </cell>
        </row>
        <row r="1857">
          <cell r="A1857" t="str">
            <v>4312</v>
          </cell>
          <cell r="B1857" t="str">
            <v>El importe total del comprobante no coincide con el valor calculado</v>
          </cell>
        </row>
        <row r="1858">
          <cell r="A1858" t="str">
            <v>4313</v>
          </cell>
          <cell r="B1858" t="str">
            <v>El dato ingresado como unidad de medida de los dias de permanencia no corresponde al valor esperado.</v>
          </cell>
        </row>
        <row r="1859">
          <cell r="A1859" t="str">
            <v>4314</v>
          </cell>
          <cell r="B1859" t="str">
            <v>El monto para el redondeo del Importe Total excede el valor permitido</v>
          </cell>
        </row>
        <row r="1860">
          <cell r="A1860" t="str">
            <v>4315</v>
          </cell>
          <cell r="B1860" t="str">
            <v>La moneda debe ser la misma en todo el documento. Salvo las percepciones que sólo son en moneda nacional.</v>
          </cell>
        </row>
        <row r="1861">
          <cell r="A1861" t="str">
            <v>4316</v>
          </cell>
          <cell r="B1861" t="str">
            <v>La moneda del monto para el redondeo debe ser PEN</v>
          </cell>
        </row>
        <row r="1862">
          <cell r="A1862" t="str">
            <v>4317</v>
          </cell>
          <cell r="B1862" t="str">
            <v>Debe consignar el Total Precio de Venta</v>
          </cell>
        </row>
        <row r="1863">
          <cell r="A1863" t="str">
            <v>4318</v>
          </cell>
          <cell r="B1863" t="str">
            <v>El dato ingresado en el campo cac:TaxSubtotal/cbc:TaxAmount del ítem no coincide con el valor calculado</v>
          </cell>
        </row>
        <row r="1864">
          <cell r="A1864" t="str">
            <v>4320</v>
          </cell>
          <cell r="B1864" t="str">
            <v>El dato ingresado como unidad de medida no corresponde al valor esperado</v>
          </cell>
        </row>
        <row r="1865">
          <cell r="A1865" t="str">
            <v>4321</v>
          </cell>
          <cell r="B1865" t="str">
            <v>La sumatoria del total del importe del tributo ICBPER de línea no corresponden al total</v>
          </cell>
        </row>
        <row r="1866">
          <cell r="A1866" t="str">
            <v>4322</v>
          </cell>
          <cell r="B1866" t="str">
            <v>El valor de cargo/descuento global difiere de los importes consignados</v>
          </cell>
        </row>
        <row r="1867">
          <cell r="A1867" t="str">
            <v>4323</v>
          </cell>
          <cell r="B1867" t="str">
            <v>El dato ingresado como tipo de usuario no corresponde al valor esperado</v>
          </cell>
        </row>
        <row r="1868">
          <cell r="A1868" t="str">
            <v>4324</v>
          </cell>
          <cell r="B1868" t="str">
            <v>El dato ingresado como tipo de tarifa contratada no corresponde al valor esperado</v>
          </cell>
        </row>
        <row r="1869">
          <cell r="A1869" t="str">
            <v>4326</v>
          </cell>
          <cell r="B1869" t="str">
            <v>Para Factura Electrónica Transportista debe indicar el número de constancia de inscripcion del vehiculo o certificado de habilitación vehicular</v>
          </cell>
        </row>
        <row r="1870">
          <cell r="A1870" t="str">
            <v>4327</v>
          </cell>
          <cell r="B1870" t="str">
            <v>Para Factura Electrónica Transportista debe consignar el indicador de subcontratacion</v>
          </cell>
        </row>
        <row r="1871">
          <cell r="A1871" t="str">
            <v>4328</v>
          </cell>
          <cell r="B1871" t="str">
            <v>El valor del indicador de subcontratacion no corresponde al valor esperado</v>
          </cell>
        </row>
        <row r="1872">
          <cell r="A1872" t="str">
            <v>4329</v>
          </cell>
          <cell r="B1872" t="str">
            <v>Para factura electrónica remitente debe consignar el motivo de traslado</v>
          </cell>
        </row>
        <row r="1873">
          <cell r="A1873" t="str">
            <v>4330</v>
          </cell>
          <cell r="B1873" t="str">
            <v xml:space="preserve">Para factura electrónica tranportista debe indicar la GRE remitente o FE remitente  </v>
          </cell>
        </row>
        <row r="1874">
          <cell r="A1874" t="str">
            <v>4331</v>
          </cell>
          <cell r="B1874" t="str">
            <v>Debe consignar obligatoriamente Codigo de producto SUNAT o Codigo de producto GTIN</v>
          </cell>
        </row>
        <row r="1875">
          <cell r="A1875" t="str">
            <v>4332</v>
          </cell>
          <cell r="B1875" t="str">
            <v>El Código producto de SUNAT no es válido</v>
          </cell>
        </row>
        <row r="1876">
          <cell r="A1876" t="str">
            <v>4333</v>
          </cell>
          <cell r="B1876" t="str">
            <v>Si utiliza el estandar GS1 debe especificar el tipo de estructura GTIN</v>
          </cell>
        </row>
        <row r="1877">
          <cell r="A1877" t="str">
            <v>4334</v>
          </cell>
          <cell r="B1877" t="str">
            <v>El código de producto GS1 no cumple el estandar</v>
          </cell>
        </row>
        <row r="1878">
          <cell r="A1878" t="str">
            <v>4335</v>
          </cell>
          <cell r="B1878" t="str">
            <v>El tipo de estructura GS1 no tiene un valor permitido</v>
          </cell>
        </row>
        <row r="1879">
          <cell r="A1879" t="str">
            <v>4336</v>
          </cell>
          <cell r="B1879" t="str">
            <v>A partir del 1 de julio de 2019 se encuentra obligado a emitir a traves de SEE-OSE y/o SEE-SOL</v>
          </cell>
        </row>
        <row r="1880">
          <cell r="A1880" t="str">
            <v>4337</v>
          </cell>
          <cell r="B1880" t="str">
            <v>El Codigo de producto SUNAT debe especificarse como minimo al tercer nivel jerarquico (a nivel de clase del codigo UNSPSC)</v>
          </cell>
        </row>
        <row r="1881">
          <cell r="A1881" t="str">
            <v>4338</v>
          </cell>
          <cell r="B1881" t="str">
            <v>RegistrationName - El nombre o razon social del emisor no cumple con el estandar</v>
          </cell>
        </row>
        <row r="1882">
          <cell r="A1882" t="str">
            <v>4339</v>
          </cell>
          <cell r="B1882" t="str">
            <v>El codigo de ubigeo del domicilio del vendedor no es válido</v>
          </cell>
        </row>
        <row r="1883">
          <cell r="A1883" t="str">
            <v>4340</v>
          </cell>
          <cell r="B1883" t="str">
            <v>La dirección completa y detallada del domicilio del vendedor no cumple con el formato establecido</v>
          </cell>
        </row>
        <row r="1884">
          <cell r="A1884" t="str">
            <v>4341</v>
          </cell>
          <cell r="B1884" t="str">
            <v>La urbanización del domicilio del vendedor no cumple con el formato establecido</v>
          </cell>
        </row>
        <row r="1885">
          <cell r="A1885" t="str">
            <v>4342</v>
          </cell>
          <cell r="B1885" t="str">
            <v>La provincia del domicilio del vendedor no cumple con el formato establecido</v>
          </cell>
        </row>
        <row r="1886">
          <cell r="A1886" t="str">
            <v>4343</v>
          </cell>
          <cell r="B1886" t="str">
            <v>El departamento del domicilio del vendedor no cumple con el formato establecido</v>
          </cell>
        </row>
        <row r="1887">
          <cell r="A1887" t="str">
            <v>4344</v>
          </cell>
          <cell r="B1887" t="str">
            <v>El distrito del domicilio del vendedor no cumple con el formato establecido</v>
          </cell>
        </row>
        <row r="1888">
          <cell r="A1888" t="str">
            <v>4345</v>
          </cell>
          <cell r="B1888" t="str">
            <v>El monto base global de la retencion de renta no coincide con el valor calculado</v>
          </cell>
        </row>
        <row r="1889">
          <cell r="A1889" t="str">
            <v>4346</v>
          </cell>
          <cell r="B1889" t="str">
            <v>El importe de la retencion de renta no coincide con el valor calculado</v>
          </cell>
        </row>
        <row r="1890">
          <cell r="A1890" t="str">
            <v>4347</v>
          </cell>
          <cell r="B1890" t="str">
            <v>El comprobante fue enviado fuera del plazo permitido.</v>
          </cell>
        </row>
        <row r="1891">
          <cell r="A1891" t="str">
            <v>4348</v>
          </cell>
          <cell r="B1891" t="str">
            <v>El importe del campo /cac:InvoiceLine/cac:ItemPriceExtension/cbc:Amount no coincide con el valor calculado</v>
          </cell>
        </row>
        <row r="1892">
          <cell r="A1892" t="str">
            <v>4349</v>
          </cell>
          <cell r="B1892" t="str">
            <v>El importe del campo /cac:InvoiceLine/cac:SubInvoiceLine/cac:ItemPriceExtension/cbc:Amount no coincide con el valor calculado</v>
          </cell>
        </row>
        <row r="1893">
          <cell r="A1893" t="str">
            <v>4350</v>
          </cell>
          <cell r="B1893" t="str">
            <v>El nombre o razon social registrado no cumple con el estandar</v>
          </cell>
        </row>
        <row r="1894">
          <cell r="A1894" t="str">
            <v>4351</v>
          </cell>
          <cell r="B1894" t="str">
            <v>El Numero de RUC no esta activo</v>
          </cell>
        </row>
        <row r="1895">
          <cell r="A1895" t="str">
            <v>4352</v>
          </cell>
          <cell r="B1895" t="str">
            <v>El Numero de RUC es no habido</v>
          </cell>
        </row>
        <row r="1896">
          <cell r="A1896" t="str">
            <v>4353</v>
          </cell>
          <cell r="B1896" t="str">
            <v>Si 'Tipo de documento de identidad' es '6', el formato del Tag UBL es diferente a numérico de 11 dígitos</v>
          </cell>
        </row>
        <row r="1897">
          <cell r="A1897" t="str">
            <v>4354</v>
          </cell>
          <cell r="B1897" t="str">
            <v>El importe del campo /cac:InvoiceLine/cbc:LineExtensionAmount no coincide con el valor calculado</v>
          </cell>
        </row>
        <row r="1898">
          <cell r="A1898" t="str">
            <v>4355</v>
          </cell>
          <cell r="B1898" t="str">
            <v>El importe del campo /cac:InvoiceLine/cac:SubInvoiceLine/cbc:LineExtensionAmount no coincide con el valor calculado</v>
          </cell>
        </row>
        <row r="1899">
          <cell r="A1899" t="str">
            <v>4356</v>
          </cell>
          <cell r="B1899" t="str">
            <v>El importe del campo /cac:SubInvoiceLine/cac:TaxTotal/cbc:TaxAmount no coincide con el valor calculado</v>
          </cell>
        </row>
        <row r="1900">
          <cell r="A1900" t="str">
            <v>4357</v>
          </cell>
          <cell r="B1900" t="str">
            <v>El dato ingresado como cargo/descuento no es valido a nivel de /cac:SubInvoiceLine</v>
          </cell>
        </row>
        <row r="1901">
          <cell r="A1901" t="str">
            <v>4358</v>
          </cell>
          <cell r="B1901" t="str">
            <v>El valor de cargo/descuento a nivel de /cac:SubInvoiceLine difiere de los importes consignados.</v>
          </cell>
        </row>
        <row r="1902">
          <cell r="A1902" t="str">
            <v>4359</v>
          </cell>
          <cell r="B1902" t="str">
            <v>El monto de ISC de la línea no coincide con el valor calculado</v>
          </cell>
        </row>
        <row r="1903">
          <cell r="A1903" t="str">
            <v>4360</v>
          </cell>
          <cell r="B1903" t="str">
            <v>El monto de IGV de la línea no coincide con el valor calculado</v>
          </cell>
        </row>
        <row r="1904">
          <cell r="A1904" t="str">
            <v>4361</v>
          </cell>
          <cell r="B1904" t="str">
            <v>El codigo de leyenda no existe</v>
          </cell>
        </row>
        <row r="1905">
          <cell r="A1905" t="str">
            <v>4362</v>
          </cell>
          <cell r="B1905" t="str">
            <v>El codigo de leyenda no debe repetirse en el comprobante</v>
          </cell>
        </row>
        <row r="1906">
          <cell r="A1906" t="str">
            <v>4363</v>
          </cell>
          <cell r="B1906" t="str">
            <v>El importe del campo /cac:LegalMonetaryTotal/cbc:PayableAmount no coincide con el valor calculado</v>
          </cell>
        </row>
        <row r="1907">
          <cell r="A1907" t="str">
            <v>4364</v>
          </cell>
          <cell r="B1907" t="str">
            <v>Para entidades emisoras locales debe informar el detalle de las comisiones y cargos</v>
          </cell>
        </row>
        <row r="1908">
          <cell r="A1908" t="str">
            <v>4365</v>
          </cell>
          <cell r="B1908" t="str">
            <v>El monto de IGV a nivel de /cac:SubInvoiceLine no coincide con el valor calculado</v>
          </cell>
        </row>
        <row r="1909">
          <cell r="A1909" t="str">
            <v>4366</v>
          </cell>
          <cell r="B1909" t="str">
            <v>El XML no contiene tag o no existe información de la fecha del concepto por linea</v>
          </cell>
        </row>
        <row r="1910">
          <cell r="A1910" t="str">
            <v>4367</v>
          </cell>
          <cell r="B1910" t="str">
            <v>El tipo de nota de crédito 04, 05 y 08 no debería estar vinculado a una boleta</v>
          </cell>
        </row>
        <row r="1911">
          <cell r="A1911" t="str">
            <v>4368</v>
          </cell>
          <cell r="B1911" t="str">
            <v>El tipo de moneda de la nota debe ser el mismo que el declarado en el documento que modifica</v>
          </cell>
        </row>
        <row r="1912">
          <cell r="A1912" t="str">
            <v>4369</v>
          </cell>
          <cell r="B1912" t="str">
            <v>El dato ingresado como numero de autorizacion del Remitente no cumple con el formato establecido</v>
          </cell>
        </row>
        <row r="1913">
          <cell r="A1913" t="str">
            <v>4370</v>
          </cell>
          <cell r="B1913" t="str">
            <v>El XML no contiene el tag o no existe informacion del nombre o razon social de quien paga el servicio</v>
          </cell>
        </row>
        <row r="1914">
          <cell r="A1914" t="str">
            <v>4371</v>
          </cell>
          <cell r="B1914" t="str">
            <v>El XML no contiene el tag o no existe informacion de la descripcion del tipo de documento relacionado</v>
          </cell>
        </row>
        <row r="1915">
          <cell r="A1915" t="str">
            <v>4372</v>
          </cell>
          <cell r="B1915" t="str">
            <v>La descripcion del tipo de documento relacionado no cumple con el estandar</v>
          </cell>
        </row>
        <row r="1916">
          <cell r="A1916" t="str">
            <v>4373</v>
          </cell>
          <cell r="B1916" t="str">
            <v>El RUC del Destinatario no esta activo</v>
          </cell>
        </row>
        <row r="1917">
          <cell r="A1917" t="str">
            <v>4374</v>
          </cell>
          <cell r="B1917" t="str">
            <v>El RUC del destinatario no esta habido</v>
          </cell>
        </row>
        <row r="1918">
          <cell r="A1918" t="str">
            <v>4375</v>
          </cell>
          <cell r="B1918" t="str">
            <v>Corresponde ingresar informacion del Proveedor</v>
          </cell>
        </row>
        <row r="1919">
          <cell r="A1919" t="str">
            <v>4376</v>
          </cell>
          <cell r="B1919" t="str">
            <v>Solo debe consignar informacion de hasta dos conductores secundarios</v>
          </cell>
        </row>
        <row r="1920">
          <cell r="A1920" t="str">
            <v>4377</v>
          </cell>
          <cell r="B1920" t="str">
            <v>Para el motivo de traslado no corresponde consignar informacion del Comprador</v>
          </cell>
        </row>
        <row r="1921">
          <cell r="A1921" t="str">
            <v>4378</v>
          </cell>
          <cell r="B1921" t="str">
            <v>Para el motivo de traslado debe existir informacion del Comprador</v>
          </cell>
        </row>
        <row r="1922">
          <cell r="A1922" t="str">
            <v>4379</v>
          </cell>
          <cell r="B1922" t="str">
            <v>El RUC del Comprador no esta activo</v>
          </cell>
        </row>
        <row r="1923">
          <cell r="A1923" t="str">
            <v>4380</v>
          </cell>
          <cell r="B1923" t="str">
            <v>El RUC del Comprador no esta habido</v>
          </cell>
        </row>
        <row r="1924">
          <cell r="A1924" t="str">
            <v>4381</v>
          </cell>
          <cell r="B1924" t="str">
            <v>El nombre o razon social del Comprador no cumple con el formato establecido</v>
          </cell>
        </row>
        <row r="1925">
          <cell r="A1925" t="str">
            <v>4382</v>
          </cell>
          <cell r="B1925" t="str">
            <v>El numero de comprobante consignado como documento relacionado no existe</v>
          </cell>
        </row>
        <row r="1926">
          <cell r="A1926" t="str">
            <v>4383</v>
          </cell>
          <cell r="B1926" t="str">
            <v>Si el motivo de traslado es Importacion o Exportacion y no se trata de un traslado total de la DAM o DS, debe indicar el Peso bruto total de los items seleccionados</v>
          </cell>
        </row>
        <row r="1927">
          <cell r="A1927" t="str">
            <v>4384</v>
          </cell>
          <cell r="B1927" t="str">
            <v>El valor ingresado como numero de bultos o pallets no cumple con el estandar</v>
          </cell>
        </row>
        <row r="1928">
          <cell r="A1928" t="str">
            <v>4385</v>
          </cell>
          <cell r="B1928" t="str">
            <v>No ha ingresado el campo de “Fecha de entrega de bienes al transportista” o esta vacio</v>
          </cell>
        </row>
        <row r="1929">
          <cell r="A1929" t="str">
            <v>4386</v>
          </cell>
          <cell r="B1929" t="str">
            <v>La Fecha de entrega de bienes al transportista debe ser mayor o igual a la Fecha de emision del documento</v>
          </cell>
        </row>
        <row r="1930">
          <cell r="A1930" t="str">
            <v>4387</v>
          </cell>
          <cell r="B1930" t="str">
            <v>Si el motivo de traslado es Importacion o Exportacion y no se trata de un traslado total de la DAM o DS, debe indicar el Sustento de la diferencia del Peso bruto total de la carga</v>
          </cell>
        </row>
        <row r="1931">
          <cell r="A1931" t="str">
            <v>4388</v>
          </cell>
          <cell r="B1931" t="str">
            <v>Debe consignar el Indicador de pagador de flete</v>
          </cell>
        </row>
        <row r="1932">
          <cell r="A1932" t="str">
            <v>4389</v>
          </cell>
          <cell r="B1932" t="str">
            <v>Solo corresponde consignar hasta dos vehiculos secundarios</v>
          </cell>
        </row>
        <row r="1933">
          <cell r="A1933" t="str">
            <v>4390</v>
          </cell>
          <cell r="B1933" t="str">
            <v>Debe consignar la Constancia de Deposito el tratarse de un bien normalizado</v>
          </cell>
        </row>
        <row r="1934">
          <cell r="A1934" t="str">
            <v>4391</v>
          </cell>
          <cell r="B1934" t="str">
            <v>El Numero de Registro MTC del transportista no existe o no contiene informacion</v>
          </cell>
        </row>
        <row r="1935">
          <cell r="A1935" t="str">
            <v>4392</v>
          </cell>
          <cell r="B1935" t="str">
            <v>El Numero de Registro MTC del transportista no cumple con el formato establecido</v>
          </cell>
        </row>
        <row r="1936">
          <cell r="A1936" t="str">
            <v>4393</v>
          </cell>
          <cell r="B1936" t="str">
            <v>El Numero de Registro MTC del transportista no se encuentra en las bases consultadas</v>
          </cell>
        </row>
        <row r="1937">
          <cell r="A1937" t="str">
            <v>4394</v>
          </cell>
          <cell r="B1937" t="str">
            <v>Debe indicar la entidad autorizadora de la autorizacion especial</v>
          </cell>
        </row>
        <row r="1938">
          <cell r="A1938" t="str">
            <v>4395</v>
          </cell>
          <cell r="B1938" t="str">
            <v>El Codigo de entidad autorizadora es invalido</v>
          </cell>
        </row>
        <row r="1939">
          <cell r="A1939" t="str">
            <v>4396</v>
          </cell>
          <cell r="B1939" t="str">
            <v>El Numero de autorizacion del transportista no cumple con el formato establecido</v>
          </cell>
        </row>
        <row r="1940">
          <cell r="A1940" t="str">
            <v>4397</v>
          </cell>
          <cell r="B1940" t="str">
            <v>SI existe el Codigo de entidad autorizadora, debe consignar el Numero de autorizacion especial de la empresa</v>
          </cell>
        </row>
        <row r="1941">
          <cell r="A1941" t="str">
            <v>4398</v>
          </cell>
          <cell r="B1941" t="str">
            <v>El Numero de placa no se encuentra en las bases consultadas</v>
          </cell>
        </row>
        <row r="1942">
          <cell r="A1942" t="str">
            <v>4399</v>
          </cell>
          <cell r="B1942" t="str">
            <v>No ha consignado el Numero de Constancia de Inscripcion Vehicular o Certificado de Habilitacion Vehicular o la TUC (fisica o electronica)</v>
          </cell>
        </row>
        <row r="1943">
          <cell r="A1943" t="str">
            <v>4400</v>
          </cell>
          <cell r="B1943" t="str">
            <v>El Numero de Constancia de Inscripcion Vehicular o Certificado de Habilitacion Vehicular o la TUC (fisica o electronica) no se encuentra en las bases consultadas</v>
          </cell>
        </row>
        <row r="1944">
          <cell r="A1944" t="str">
            <v>4401</v>
          </cell>
          <cell r="B1944" t="str">
            <v>El XML no contiene el tag o no existe informacion del tipo de documento de identidad de quien paga el servicio</v>
          </cell>
        </row>
        <row r="1945">
          <cell r="A1945" t="str">
            <v>4402</v>
          </cell>
          <cell r="B1945" t="str">
            <v>El XML no contiene el atributo o no existe informacion del numero de documento de identidad de quien paga el servicio</v>
          </cell>
        </row>
        <row r="1946">
          <cell r="A1946" t="str">
            <v>4403</v>
          </cell>
          <cell r="B1946" t="str">
            <v>Debe indicar la entidad autorizadora del vehiculo</v>
          </cell>
        </row>
        <row r="1947">
          <cell r="A1947" t="str">
            <v>4404</v>
          </cell>
          <cell r="B1947" t="str">
            <v xml:space="preserve">La SUNAT no cuenta con la informacion en los ultimos 15 dias de la Constancia de Deposito en sus sistemas </v>
          </cell>
        </row>
        <row r="1948">
          <cell r="A1948" t="str">
            <v>4405</v>
          </cell>
          <cell r="B1948" t="str">
            <v>Si existe el Codigo de entidad autorizadora, debe consignar el Numero de autorizacion especial del vehiculo</v>
          </cell>
        </row>
        <row r="1949">
          <cell r="A1949" t="str">
            <v>4406</v>
          </cell>
          <cell r="B1949" t="str">
            <v>El Numero de autorizacion del vehiculo no cumple con el formato establecido</v>
          </cell>
        </row>
        <row r="1950">
          <cell r="A1950" t="str">
            <v>4407</v>
          </cell>
          <cell r="B1950" t="str">
            <v>El Codigo de entidad autorizadora del vehiculo no corresponde a un valor esperado</v>
          </cell>
        </row>
        <row r="1951">
          <cell r="A1951" t="str">
            <v>4408</v>
          </cell>
          <cell r="B1951" t="str">
            <v>Si consigna datos del vehiculo secundario, debe existir datos del vehiculo principal</v>
          </cell>
        </row>
        <row r="1952">
          <cell r="A1952" t="str">
            <v>4409</v>
          </cell>
          <cell r="B1952" t="str">
            <v>Los nombres y/o apellidos del conductor no cumplen con el formato establecido</v>
          </cell>
        </row>
        <row r="1953">
          <cell r="A1953" t="str">
            <v>4410</v>
          </cell>
          <cell r="B1953" t="str">
            <v>Si existe descripcion del documento relacionado debe existir informacion del codigo y numero del documento relacionado</v>
          </cell>
        </row>
        <row r="1954">
          <cell r="A1954" t="str">
            <v>4411</v>
          </cell>
          <cell r="B1954" t="str">
            <v>Si consigna datos del conductor secundario, debe existir datos del conductor principal</v>
          </cell>
        </row>
        <row r="1955">
          <cell r="A1955" t="str">
            <v>4412</v>
          </cell>
          <cell r="B1955" t="str">
            <v>El Numero de licencia de conducir no se encuentra en las bases consultadas</v>
          </cell>
        </row>
        <row r="1956">
          <cell r="A1956" t="str">
            <v>4413</v>
          </cell>
          <cell r="B1956" t="str">
            <v>SI ingresa el Tipo de locacion debe consignar el Codigo de puerto/aeropuerto</v>
          </cell>
        </row>
        <row r="1957">
          <cell r="A1957" t="str">
            <v>4414</v>
          </cell>
          <cell r="B1957" t="str">
            <v>El dato ingresado como Codigo del puerto no corresponde a un valor esperado</v>
          </cell>
        </row>
        <row r="1958">
          <cell r="A1958" t="str">
            <v>4415</v>
          </cell>
          <cell r="B1958" t="str">
            <v>SI ingresa el Codigo del puerto/aeropuerto debe consignar el Tipo de locacion</v>
          </cell>
        </row>
        <row r="1959">
          <cell r="A1959" t="str">
            <v>4416</v>
          </cell>
          <cell r="B1959" t="str">
            <v>El dato ingresado como Tipo de locacion no corresponde a un valor esperado</v>
          </cell>
        </row>
        <row r="1960">
          <cell r="A1960" t="str">
            <v>4417</v>
          </cell>
          <cell r="B1960" t="str">
            <v>El dato ingresado como Codigo del aeropuerto no corresponde a un valor esperado</v>
          </cell>
        </row>
        <row r="1961">
          <cell r="A1961" t="str">
            <v>4418</v>
          </cell>
          <cell r="B1961" t="str">
            <v>El Nombre del Puerto o Aeropuerto no existe o no contiene informacion</v>
          </cell>
        </row>
        <row r="1962">
          <cell r="A1962" t="str">
            <v>4419</v>
          </cell>
          <cell r="B1962" t="str">
            <v>La Partida arancelaria para bienes regulados por SUNAT (Indicador de bien normalizado) no contiene informacion o no existe</v>
          </cell>
        </row>
        <row r="1963">
          <cell r="A1963" t="str">
            <v>4420</v>
          </cell>
          <cell r="B1963" t="str">
            <v>El Numero de RUC del Remitente no esta activo</v>
          </cell>
        </row>
        <row r="1964">
          <cell r="A1964" t="str">
            <v>4421</v>
          </cell>
          <cell r="B1964" t="str">
            <v>El Numero de RUC del Remitente no esta habido</v>
          </cell>
        </row>
        <row r="1965">
          <cell r="A1965" t="str">
            <v>4422</v>
          </cell>
          <cell r="B1965" t="str">
            <v>El nombre o razon social del Remitente no cumple con el formato establecido</v>
          </cell>
        </row>
        <row r="1966">
          <cell r="A1966" t="str">
            <v>4423</v>
          </cell>
          <cell r="B1966" t="str">
            <v>El nombre o razon social de quien paga el servicio no cumple con el formato establecido</v>
          </cell>
        </row>
        <row r="1967">
          <cell r="A1967" t="str">
            <v>4424</v>
          </cell>
          <cell r="B1967" t="str">
            <v>El XML no contiene el tag o no existe informacion del numero de documento de identidad del subcontratador</v>
          </cell>
        </row>
        <row r="1968">
          <cell r="A1968" t="str">
            <v>4425</v>
          </cell>
          <cell r="B1968" t="str">
            <v>El XML no contiene el atributo o no existe informacion del tipo de documento de identidad del subcontratador</v>
          </cell>
        </row>
        <row r="1969">
          <cell r="A1969" t="str">
            <v>4426</v>
          </cell>
          <cell r="B1969" t="str">
            <v>El XML no contiene el atributo o no existe informacion del nombre o razon social del subcontratador</v>
          </cell>
        </row>
        <row r="1970">
          <cell r="A1970" t="str">
            <v>4427</v>
          </cell>
          <cell r="B1970" t="str">
            <v>El nombre/razon social del subcontratador no cumple con el formato establecido</v>
          </cell>
        </row>
        <row r="1971">
          <cell r="A1971" t="str">
            <v>4428</v>
          </cell>
          <cell r="B1971" t="str">
            <v>El Sustento de la diferencia del Peso bruto total de la carga no cumple con el formato establecido</v>
          </cell>
        </row>
        <row r="1972">
          <cell r="A1972" t="str">
            <v>4429</v>
          </cell>
          <cell r="B1972" t="str">
            <v>La anotacion opcional sobre los bienes a transportar no existe o no contiene informacion</v>
          </cell>
        </row>
        <row r="1973">
          <cell r="A1973" t="str">
            <v>4430</v>
          </cell>
          <cell r="B1973" t="str">
            <v>La anotacion opcional sobre los bienes a transportar no cumple con el formato establecido</v>
          </cell>
        </row>
        <row r="1974">
          <cell r="A1974" t="str">
            <v>4431</v>
          </cell>
          <cell r="B1974" t="str">
            <v>Si en caso el motivo de traslado de la guia remision remitente es Traslado emisor itinerante CP no corresponde informar codigo de ubigeo del punto de llegada</v>
          </cell>
        </row>
        <row r="1975">
          <cell r="A1975" t="str">
            <v>4432</v>
          </cell>
          <cell r="B1975" t="str">
            <v>La Constancia de Deposito ingresada ya ha sido referenciada en otra GRE emitida por el mismo remitente</v>
          </cell>
        </row>
        <row r="1976">
          <cell r="A1976" t="str">
            <v>4433</v>
          </cell>
          <cell r="B1976" t="str">
            <v>Si el motivo de traslado de la guia remitente es 18 - Traslado emisor itinerante CP no corresponde informar la direccion detalla del punto de llegada</v>
          </cell>
        </row>
        <row r="1977">
          <cell r="A1977" t="str">
            <v>4434</v>
          </cell>
          <cell r="B1977" t="str">
            <v>No corresponde consignar el detalle de los bienes a transportar</v>
          </cell>
        </row>
        <row r="1978">
          <cell r="A1978" t="str">
            <v>4435</v>
          </cell>
          <cell r="B1978" t="str">
            <v>El tipo y numero de documento de identidad del destinatario es diferente al del importador que figura en la(s) DAM / DS</v>
          </cell>
        </row>
        <row r="1979">
          <cell r="A1979" t="str">
            <v>4436</v>
          </cell>
          <cell r="B1979" t="str">
            <v>Ya se ha emitido una GRE por esta DAM o DS. La generacion de la GRE sera bajo su responsabilidad pues no se cuenta con saldo suficiente para este tipo de traslado</v>
          </cell>
        </row>
        <row r="1980">
          <cell r="A1980" t="str">
            <v>4437</v>
          </cell>
          <cell r="B1980" t="str">
            <v>El control de los saldos pendientes de traslado es responsabilidad del contribuyente</v>
          </cell>
        </row>
        <row r="1981">
          <cell r="A1981"/>
          <cell r="B1981"/>
        </row>
      </sheetData>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hyperlink" Target="https://www.unspsc.org/codeset-downloads/productid/28/createdbyuser/3?txtsearch=" TargetMode="External"/><Relationship Id="rId1" Type="http://schemas.openxmlformats.org/officeDocument/2006/relationships/hyperlink" Target="https://www.datosabiertos.gob.pe/dataset/c%C3%B3digo-de-ubicaci%C3%B3n-geogr%C3%A1fica-en-el-per%C3%BA-instituto-nacional-de-estad%C3%ADstica-e-inform%C3%A1ti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2"/>
  <sheetViews>
    <sheetView topLeftCell="A433" zoomScale="80" zoomScaleNormal="80" workbookViewId="0">
      <selection activeCell="H440" sqref="H440:H443"/>
    </sheetView>
  </sheetViews>
  <sheetFormatPr defaultColWidth="0" defaultRowHeight="12" x14ac:dyDescent="0.25"/>
  <cols>
    <col min="1" max="1" width="1.85546875" style="8" customWidth="1"/>
    <col min="2" max="2" width="3.42578125" style="69" customWidth="1"/>
    <col min="3" max="3" width="28.5703125" style="8" customWidth="1"/>
    <col min="4" max="4" width="6.42578125" style="8" bestFit="1" customWidth="1"/>
    <col min="5" max="5" width="10.5703125" style="8" customWidth="1"/>
    <col min="6" max="6" width="11.140625" style="8" customWidth="1"/>
    <col min="7" max="7" width="15.42578125" style="70" customWidth="1"/>
    <col min="8" max="8" width="36.5703125" style="71" customWidth="1"/>
    <col min="9" max="9" width="49" style="8" customWidth="1"/>
    <col min="10" max="10" width="8.42578125" style="8" customWidth="1"/>
    <col min="11" max="11" width="8.140625" style="8" customWidth="1"/>
    <col min="12" max="12" width="72.5703125" style="8" customWidth="1"/>
    <col min="13" max="13" width="14.42578125" style="70" hidden="1" customWidth="1"/>
    <col min="14" max="14" width="12.5703125" style="70" hidden="1" customWidth="1"/>
    <col min="15" max="15" width="10.85546875" style="8" customWidth="1"/>
    <col min="16" max="17" width="11.42578125" style="8" hidden="1" customWidth="1"/>
    <col min="18" max="16384" width="0" style="8" hidden="1"/>
  </cols>
  <sheetData>
    <row r="1" spans="1:15" x14ac:dyDescent="0.25">
      <c r="A1" s="6"/>
      <c r="B1" s="7" t="s">
        <v>47</v>
      </c>
      <c r="D1" s="9"/>
      <c r="E1" s="9"/>
      <c r="F1" s="9"/>
      <c r="G1" s="9"/>
      <c r="H1" s="10"/>
      <c r="I1" s="6"/>
      <c r="J1" s="9"/>
      <c r="K1" s="11"/>
      <c r="L1" s="6"/>
      <c r="M1" s="9"/>
      <c r="N1" s="9"/>
      <c r="O1" s="6"/>
    </row>
    <row r="2" spans="1:15" s="16" customFormat="1" ht="36" x14ac:dyDescent="0.25">
      <c r="A2" s="12"/>
      <c r="B2" s="13" t="s">
        <v>0</v>
      </c>
      <c r="C2" s="14" t="s">
        <v>1</v>
      </c>
      <c r="D2" s="14" t="s">
        <v>48</v>
      </c>
      <c r="E2" s="14" t="s">
        <v>49</v>
      </c>
      <c r="F2" s="14" t="s">
        <v>50</v>
      </c>
      <c r="G2" s="14" t="s">
        <v>2</v>
      </c>
      <c r="H2" s="14" t="s">
        <v>51</v>
      </c>
      <c r="I2" s="14" t="s">
        <v>52</v>
      </c>
      <c r="J2" s="15" t="s">
        <v>53</v>
      </c>
      <c r="K2" s="15" t="s">
        <v>54</v>
      </c>
      <c r="L2" s="14" t="s">
        <v>55</v>
      </c>
      <c r="M2" s="14" t="s">
        <v>56</v>
      </c>
      <c r="N2" s="14" t="s">
        <v>57</v>
      </c>
      <c r="O2" s="12"/>
    </row>
    <row r="3" spans="1:15" x14ac:dyDescent="0.25">
      <c r="A3" s="6"/>
      <c r="B3" s="17" t="s">
        <v>58</v>
      </c>
      <c r="C3" s="18" t="s">
        <v>58</v>
      </c>
      <c r="D3" s="18"/>
      <c r="E3" s="19"/>
      <c r="F3" s="18"/>
      <c r="G3" s="18"/>
      <c r="H3" s="20"/>
      <c r="I3" s="19"/>
      <c r="J3" s="21"/>
      <c r="K3" s="21"/>
      <c r="L3" s="19"/>
      <c r="M3" s="18"/>
      <c r="N3" s="18"/>
      <c r="O3" s="6"/>
    </row>
    <row r="4" spans="1:15" x14ac:dyDescent="0.25">
      <c r="A4" s="6"/>
      <c r="B4" s="22" t="s">
        <v>59</v>
      </c>
      <c r="C4" s="23"/>
      <c r="D4" s="23"/>
      <c r="E4" s="23"/>
      <c r="F4" s="23"/>
      <c r="G4" s="24"/>
      <c r="H4" s="25"/>
      <c r="I4" s="23"/>
      <c r="J4" s="23"/>
      <c r="K4" s="23"/>
      <c r="L4" s="23"/>
      <c r="M4" s="24"/>
      <c r="N4" s="26"/>
      <c r="O4" s="6"/>
    </row>
    <row r="5" spans="1:15" x14ac:dyDescent="0.25">
      <c r="A5" s="6"/>
      <c r="B5" s="266">
        <v>1</v>
      </c>
      <c r="C5" s="267" t="s">
        <v>60</v>
      </c>
      <c r="D5" s="268" t="s">
        <v>61</v>
      </c>
      <c r="E5" s="269" t="s">
        <v>5</v>
      </c>
      <c r="F5" s="269" t="s">
        <v>20</v>
      </c>
      <c r="G5" s="270" t="s">
        <v>62</v>
      </c>
      <c r="H5" s="265" t="s">
        <v>63</v>
      </c>
      <c r="I5" s="27" t="s">
        <v>64</v>
      </c>
      <c r="J5" s="5" t="s">
        <v>65</v>
      </c>
      <c r="K5" s="3" t="s">
        <v>66</v>
      </c>
      <c r="L5" s="27" t="str">
        <f>VLOOKUP(K5,[1]CódigosRetorno!$A$2:$B$1996,2,FALSE)</f>
        <v>El XML no contiene el tag o no existe informacion de UBLVersionID</v>
      </c>
      <c r="M5" s="5" t="s">
        <v>67</v>
      </c>
      <c r="N5" s="5"/>
      <c r="O5" s="6"/>
    </row>
    <row r="6" spans="1:15" x14ac:dyDescent="0.25">
      <c r="A6" s="6"/>
      <c r="B6" s="266"/>
      <c r="C6" s="267"/>
      <c r="D6" s="268"/>
      <c r="E6" s="269"/>
      <c r="F6" s="269"/>
      <c r="G6" s="270"/>
      <c r="H6" s="265"/>
      <c r="I6" s="27" t="s">
        <v>68</v>
      </c>
      <c r="J6" s="5" t="s">
        <v>65</v>
      </c>
      <c r="K6" s="3" t="s">
        <v>69</v>
      </c>
      <c r="L6" s="27" t="str">
        <f>VLOOKUP(K6,[1]CódigosRetorno!$A$2:$B$1996,2,FALSE)</f>
        <v>UBLVersionID - La versión del UBL no es correcta</v>
      </c>
      <c r="M6" s="5" t="s">
        <v>67</v>
      </c>
      <c r="N6" s="5"/>
      <c r="O6" s="6"/>
    </row>
    <row r="7" spans="1:15" x14ac:dyDescent="0.25">
      <c r="A7" s="6"/>
      <c r="B7" s="266">
        <f>+B5+1</f>
        <v>2</v>
      </c>
      <c r="C7" s="267" t="s">
        <v>45</v>
      </c>
      <c r="D7" s="268" t="s">
        <v>61</v>
      </c>
      <c r="E7" s="269" t="s">
        <v>5</v>
      </c>
      <c r="F7" s="269" t="s">
        <v>20</v>
      </c>
      <c r="G7" s="270" t="s">
        <v>21</v>
      </c>
      <c r="H7" s="265" t="s">
        <v>70</v>
      </c>
      <c r="I7" s="27" t="s">
        <v>64</v>
      </c>
      <c r="J7" s="5" t="s">
        <v>65</v>
      </c>
      <c r="K7" s="3" t="s">
        <v>71</v>
      </c>
      <c r="L7" s="27" t="str">
        <f>VLOOKUP(K7,[1]CódigosRetorno!$A$2:$B$1996,2,FALSE)</f>
        <v>El XML no contiene el tag o no existe informacion de CustomizationID</v>
      </c>
      <c r="M7" s="5" t="s">
        <v>67</v>
      </c>
      <c r="N7" s="5"/>
      <c r="O7" s="6"/>
    </row>
    <row r="8" spans="1:15" x14ac:dyDescent="0.25">
      <c r="A8" s="6"/>
      <c r="B8" s="266"/>
      <c r="C8" s="267"/>
      <c r="D8" s="268"/>
      <c r="E8" s="269"/>
      <c r="F8" s="269"/>
      <c r="G8" s="270"/>
      <c r="H8" s="265"/>
      <c r="I8" s="27" t="s">
        <v>72</v>
      </c>
      <c r="J8" s="5" t="s">
        <v>65</v>
      </c>
      <c r="K8" s="3" t="s">
        <v>73</v>
      </c>
      <c r="L8" s="27" t="str">
        <f>VLOOKUP(K8,[1]CódigosRetorno!$A$2:$B$1996,2,FALSE)</f>
        <v>CustomizationID - La version del documento no es correcta</v>
      </c>
      <c r="M8" s="5" t="s">
        <v>67</v>
      </c>
      <c r="N8" s="5"/>
      <c r="O8" s="6"/>
    </row>
    <row r="9" spans="1:15" ht="24" customHeight="1" x14ac:dyDescent="0.25">
      <c r="A9" s="6"/>
      <c r="B9" s="266">
        <f>+B7+1</f>
        <v>3</v>
      </c>
      <c r="C9" s="267" t="s">
        <v>46</v>
      </c>
      <c r="D9" s="268" t="s">
        <v>61</v>
      </c>
      <c r="E9" s="269" t="s">
        <v>5</v>
      </c>
      <c r="F9" s="269" t="s">
        <v>74</v>
      </c>
      <c r="G9" s="269" t="s">
        <v>75</v>
      </c>
      <c r="H9" s="265" t="s">
        <v>76</v>
      </c>
      <c r="I9" s="27" t="s">
        <v>77</v>
      </c>
      <c r="J9" s="5" t="s">
        <v>65</v>
      </c>
      <c r="K9" s="3" t="s">
        <v>78</v>
      </c>
      <c r="L9" s="27" t="str">
        <f>VLOOKUP(K9,[1]CódigosRetorno!$A$2:$B$1996,2,FALSE)</f>
        <v>ID - El dato SERIE-CORRELATIVO no cumple con el formato de acuerdo al tipo de comprobante</v>
      </c>
      <c r="M9" s="5" t="s">
        <v>67</v>
      </c>
      <c r="N9" s="28"/>
      <c r="O9" s="6"/>
    </row>
    <row r="10" spans="1:15" ht="24" x14ac:dyDescent="0.25">
      <c r="A10" s="6"/>
      <c r="B10" s="266"/>
      <c r="C10" s="267"/>
      <c r="D10" s="268"/>
      <c r="E10" s="269"/>
      <c r="F10" s="269"/>
      <c r="G10" s="269"/>
      <c r="H10" s="265"/>
      <c r="I10" s="29" t="s">
        <v>79</v>
      </c>
      <c r="J10" s="3" t="s">
        <v>65</v>
      </c>
      <c r="K10" s="3" t="s">
        <v>80</v>
      </c>
      <c r="L10" s="27" t="str">
        <f>VLOOKUP(K10,[1]CódigosRetorno!$A$2:$B$1996,2,FALSE)</f>
        <v>Numero de Serie del nombre del archivo no coincide con el consignado en el contenido del archivo XML</v>
      </c>
      <c r="M10" s="5" t="s">
        <v>67</v>
      </c>
      <c r="N10" s="5"/>
      <c r="O10" s="6"/>
    </row>
    <row r="11" spans="1:15" ht="24" x14ac:dyDescent="0.25">
      <c r="A11" s="6"/>
      <c r="B11" s="266"/>
      <c r="C11" s="267"/>
      <c r="D11" s="268"/>
      <c r="E11" s="269"/>
      <c r="F11" s="269"/>
      <c r="G11" s="269"/>
      <c r="H11" s="265"/>
      <c r="I11" s="29" t="s">
        <v>81</v>
      </c>
      <c r="J11" s="3" t="s">
        <v>65</v>
      </c>
      <c r="K11" s="3" t="s">
        <v>82</v>
      </c>
      <c r="L11" s="27" t="str">
        <f>VLOOKUP(K11,[1]CódigosRetorno!$A$2:$B$1996,2,FALSE)</f>
        <v>Número de documento en el nombre del archivo no coincide con el consignado en el contenido del XML</v>
      </c>
      <c r="M11" s="5" t="s">
        <v>67</v>
      </c>
      <c r="N11" s="5"/>
      <c r="O11" s="6"/>
    </row>
    <row r="12" spans="1:15" ht="36" x14ac:dyDescent="0.25">
      <c r="A12" s="6"/>
      <c r="B12" s="266"/>
      <c r="C12" s="267"/>
      <c r="D12" s="268"/>
      <c r="E12" s="269"/>
      <c r="F12" s="269"/>
      <c r="G12" s="269"/>
      <c r="H12" s="265"/>
      <c r="I12" s="29" t="s">
        <v>83</v>
      </c>
      <c r="J12" s="3" t="s">
        <v>65</v>
      </c>
      <c r="K12" s="3" t="s">
        <v>84</v>
      </c>
      <c r="L12" s="27" t="str">
        <f>VLOOKUP(K12,[1]CódigosRetorno!$A$2:$B$1996,2,FALSE)</f>
        <v>El comprobante fue registrado previamente con otros datos</v>
      </c>
      <c r="M12" s="5" t="s">
        <v>85</v>
      </c>
      <c r="N12" s="28" t="s">
        <v>86</v>
      </c>
      <c r="O12" s="6"/>
    </row>
    <row r="13" spans="1:15" ht="36" x14ac:dyDescent="0.25">
      <c r="A13" s="6"/>
      <c r="B13" s="266"/>
      <c r="C13" s="267"/>
      <c r="D13" s="268"/>
      <c r="E13" s="269"/>
      <c r="F13" s="269"/>
      <c r="G13" s="269"/>
      <c r="H13" s="265"/>
      <c r="I13" s="27" t="s">
        <v>87</v>
      </c>
      <c r="J13" s="5" t="s">
        <v>65</v>
      </c>
      <c r="K13" s="3" t="s">
        <v>88</v>
      </c>
      <c r="L13" s="27" t="str">
        <f>VLOOKUP(K13,[1]CódigosRetorno!$A$2:$B$1996,2,FALSE)</f>
        <v>El comprobante ya esta informado y se encuentra con estado anulado o rechazado</v>
      </c>
      <c r="M13" s="5" t="s">
        <v>85</v>
      </c>
      <c r="N13" s="28" t="s">
        <v>86</v>
      </c>
      <c r="O13" s="6"/>
    </row>
    <row r="14" spans="1:15" x14ac:dyDescent="0.25">
      <c r="A14" s="6"/>
      <c r="B14" s="266">
        <f>+B9+1</f>
        <v>4</v>
      </c>
      <c r="C14" s="267" t="s">
        <v>7</v>
      </c>
      <c r="D14" s="268" t="s">
        <v>61</v>
      </c>
      <c r="E14" s="269" t="s">
        <v>5</v>
      </c>
      <c r="F14" s="269" t="s">
        <v>16</v>
      </c>
      <c r="G14" s="269" t="s">
        <v>9</v>
      </c>
      <c r="H14" s="265" t="s">
        <v>89</v>
      </c>
      <c r="I14" s="27" t="s">
        <v>90</v>
      </c>
      <c r="J14" s="3" t="s">
        <v>65</v>
      </c>
      <c r="K14" s="3" t="s">
        <v>91</v>
      </c>
      <c r="L14" s="27" t="str">
        <f>VLOOKUP(K14,[1]CódigosRetorno!$A$2:$B$1996,2,FALSE)</f>
        <v>El campo de fecha de emision no cumple con el formato establecido</v>
      </c>
      <c r="M14" s="5" t="s">
        <v>67</v>
      </c>
      <c r="N14" s="5"/>
      <c r="O14" s="6"/>
    </row>
    <row r="15" spans="1:15" ht="24" x14ac:dyDescent="0.25">
      <c r="A15" s="6"/>
      <c r="B15" s="266"/>
      <c r="C15" s="267"/>
      <c r="D15" s="268"/>
      <c r="E15" s="269"/>
      <c r="F15" s="269"/>
      <c r="G15" s="269"/>
      <c r="H15" s="265"/>
      <c r="I15" s="27" t="s">
        <v>92</v>
      </c>
      <c r="J15" s="3" t="s">
        <v>65</v>
      </c>
      <c r="K15" s="3" t="s">
        <v>93</v>
      </c>
      <c r="L15" s="27" t="str">
        <f>VLOOKUP(K15,[1]CódigosRetorno!$A$2:$B$1996,2,FALSE)</f>
        <v>Presentacion fuera de fecha</v>
      </c>
      <c r="M15" s="5" t="s">
        <v>85</v>
      </c>
      <c r="N15" s="5" t="s">
        <v>94</v>
      </c>
      <c r="O15" s="6"/>
    </row>
    <row r="16" spans="1:15" ht="24" x14ac:dyDescent="0.25">
      <c r="A16" s="6"/>
      <c r="B16" s="266"/>
      <c r="C16" s="267"/>
      <c r="D16" s="268"/>
      <c r="E16" s="269"/>
      <c r="F16" s="269"/>
      <c r="G16" s="269"/>
      <c r="H16" s="265"/>
      <c r="I16" s="29" t="s">
        <v>95</v>
      </c>
      <c r="J16" s="3" t="s">
        <v>65</v>
      </c>
      <c r="K16" s="3" t="s">
        <v>96</v>
      </c>
      <c r="L16" s="27" t="str">
        <f>VLOOKUP(K16,[1]CódigosRetorno!$A$2:$B$1996,2,FALSE)</f>
        <v>La fecha de emision se encuentra fuera del limite permitido</v>
      </c>
      <c r="M16" s="5" t="s">
        <v>67</v>
      </c>
      <c r="N16" s="5"/>
      <c r="O16" s="6"/>
    </row>
    <row r="17" spans="1:15" x14ac:dyDescent="0.25">
      <c r="A17" s="6"/>
      <c r="B17" s="266">
        <f>+B14+1</f>
        <v>5</v>
      </c>
      <c r="C17" s="267" t="s">
        <v>97</v>
      </c>
      <c r="D17" s="268" t="s">
        <v>61</v>
      </c>
      <c r="E17" s="269" t="s">
        <v>5</v>
      </c>
      <c r="F17" s="269" t="s">
        <v>37</v>
      </c>
      <c r="G17" s="275" t="s">
        <v>38</v>
      </c>
      <c r="H17" s="265" t="s">
        <v>98</v>
      </c>
      <c r="I17" s="29" t="s">
        <v>99</v>
      </c>
      <c r="J17" s="3" t="s">
        <v>65</v>
      </c>
      <c r="K17" s="3" t="s">
        <v>100</v>
      </c>
      <c r="L17" s="27" t="str">
        <f>VLOOKUP(K17,[1]CódigosRetorno!$A$2:$B$1996,2,FALSE)</f>
        <v>No existe informacion en el campo de hora de emision</v>
      </c>
      <c r="M17" s="5" t="s">
        <v>67</v>
      </c>
      <c r="N17" s="5"/>
      <c r="O17" s="6"/>
    </row>
    <row r="18" spans="1:15" x14ac:dyDescent="0.25">
      <c r="A18" s="6"/>
      <c r="B18" s="266"/>
      <c r="C18" s="267"/>
      <c r="D18" s="268"/>
      <c r="E18" s="269"/>
      <c r="F18" s="269"/>
      <c r="G18" s="275"/>
      <c r="H18" s="265"/>
      <c r="I18" s="27" t="s">
        <v>90</v>
      </c>
      <c r="J18" s="3" t="s">
        <v>65</v>
      </c>
      <c r="K18" s="30" t="s">
        <v>101</v>
      </c>
      <c r="L18" s="27" t="str">
        <f>VLOOKUP(K18,[1]CódigosRetorno!$A$2:$B$1996,2,FALSE)</f>
        <v>El campo de hora de emision no cumple con el formato establecido</v>
      </c>
      <c r="M18" s="5" t="s">
        <v>67</v>
      </c>
      <c r="N18" s="5"/>
      <c r="O18" s="6"/>
    </row>
    <row r="19" spans="1:15" ht="12" customHeight="1" x14ac:dyDescent="0.25">
      <c r="A19" s="6"/>
      <c r="B19" s="266">
        <f>+B17+1</f>
        <v>6</v>
      </c>
      <c r="C19" s="267" t="s">
        <v>102</v>
      </c>
      <c r="D19" s="268" t="s">
        <v>61</v>
      </c>
      <c r="E19" s="269" t="s">
        <v>5</v>
      </c>
      <c r="F19" s="269" t="s">
        <v>30</v>
      </c>
      <c r="G19" s="271" t="s">
        <v>103</v>
      </c>
      <c r="H19" s="273" t="s">
        <v>104</v>
      </c>
      <c r="I19" s="27" t="s">
        <v>64</v>
      </c>
      <c r="J19" s="5" t="s">
        <v>65</v>
      </c>
      <c r="K19" s="3" t="s">
        <v>105</v>
      </c>
      <c r="L19" s="27" t="str">
        <f>VLOOKUP(K19,[1]CódigosRetorno!$A$2:$B$1996,2,FALSE)</f>
        <v>El XML no contiene informacion en el tag DespatchAdviceTypeCode.</v>
      </c>
      <c r="M19" s="5" t="s">
        <v>67</v>
      </c>
      <c r="N19" s="5"/>
      <c r="O19" s="6"/>
    </row>
    <row r="20" spans="1:15" x14ac:dyDescent="0.25">
      <c r="A20" s="6"/>
      <c r="B20" s="266"/>
      <c r="C20" s="267"/>
      <c r="D20" s="268"/>
      <c r="E20" s="269"/>
      <c r="F20" s="269"/>
      <c r="G20" s="272"/>
      <c r="H20" s="274"/>
      <c r="I20" s="27" t="s">
        <v>106</v>
      </c>
      <c r="J20" s="5" t="s">
        <v>65</v>
      </c>
      <c r="K20" s="3" t="s">
        <v>107</v>
      </c>
      <c r="L20" s="27" t="str">
        <f>VLOOKUP(K20,[1]CódigosRetorno!$A$2:$B$1996,2,FALSE)</f>
        <v>DespatchAdviceTypeCode - El valor del tipo de guía es inválido.</v>
      </c>
      <c r="M20" s="5" t="s">
        <v>67</v>
      </c>
      <c r="N20" s="5"/>
      <c r="O20" s="6"/>
    </row>
    <row r="21" spans="1:15" ht="24" x14ac:dyDescent="0.25">
      <c r="A21" s="6"/>
      <c r="B21" s="266"/>
      <c r="C21" s="267"/>
      <c r="D21" s="268"/>
      <c r="E21" s="269"/>
      <c r="F21" s="269"/>
      <c r="G21" s="190" t="s">
        <v>108</v>
      </c>
      <c r="H21" s="194" t="s">
        <v>109</v>
      </c>
      <c r="I21" s="33" t="s">
        <v>110</v>
      </c>
      <c r="J21" s="34" t="s">
        <v>111</v>
      </c>
      <c r="K21" s="30" t="s">
        <v>112</v>
      </c>
      <c r="L21" s="27" t="str">
        <f>VLOOKUP(K21,[1]CódigosRetorno!$A$2:$B$1996,2,FALSE)</f>
        <v>El dato ingresado como atributo @listAgencyName es incorrecto.</v>
      </c>
      <c r="M21" s="5" t="s">
        <v>67</v>
      </c>
      <c r="N21" s="5"/>
      <c r="O21" s="6"/>
    </row>
    <row r="22" spans="1:15" ht="24" x14ac:dyDescent="0.25">
      <c r="A22" s="6"/>
      <c r="B22" s="266"/>
      <c r="C22" s="267"/>
      <c r="D22" s="268"/>
      <c r="E22" s="269"/>
      <c r="F22" s="269"/>
      <c r="G22" s="190" t="s">
        <v>113</v>
      </c>
      <c r="H22" s="194" t="s">
        <v>114</v>
      </c>
      <c r="I22" s="33" t="s">
        <v>115</v>
      </c>
      <c r="J22" s="34" t="s">
        <v>111</v>
      </c>
      <c r="K22" s="30" t="s">
        <v>116</v>
      </c>
      <c r="L22" s="27" t="str">
        <f>VLOOKUP(K22,[1]CódigosRetorno!$A$2:$B$1996,2,FALSE)</f>
        <v>El dato ingresado como atributo @listName es incorrecto.</v>
      </c>
      <c r="M22" s="5" t="s">
        <v>67</v>
      </c>
      <c r="N22" s="5"/>
      <c r="O22" s="6"/>
    </row>
    <row r="23" spans="1:15" ht="36" x14ac:dyDescent="0.25">
      <c r="A23" s="6"/>
      <c r="B23" s="266"/>
      <c r="C23" s="267"/>
      <c r="D23" s="268"/>
      <c r="E23" s="269"/>
      <c r="F23" s="269"/>
      <c r="G23" s="190" t="s">
        <v>117</v>
      </c>
      <c r="H23" s="194" t="s">
        <v>118</v>
      </c>
      <c r="I23" s="33" t="s">
        <v>119</v>
      </c>
      <c r="J23" s="30" t="s">
        <v>111</v>
      </c>
      <c r="K23" s="35" t="s">
        <v>120</v>
      </c>
      <c r="L23" s="27" t="str">
        <f>VLOOKUP(K23,[1]CódigosRetorno!$A$2:$B$1996,2,FALSE)</f>
        <v>El dato ingresado como atributo @listURI es incorrecto.</v>
      </c>
      <c r="M23" s="5" t="s">
        <v>67</v>
      </c>
      <c r="N23" s="5"/>
      <c r="O23" s="6"/>
    </row>
    <row r="24" spans="1:15" ht="72" x14ac:dyDescent="0.25">
      <c r="A24" s="6"/>
      <c r="B24" s="36">
        <f>+B19+1</f>
        <v>7</v>
      </c>
      <c r="C24" s="114" t="s">
        <v>121</v>
      </c>
      <c r="D24" s="5" t="s">
        <v>61</v>
      </c>
      <c r="E24" s="188" t="s">
        <v>15</v>
      </c>
      <c r="F24" s="188" t="s">
        <v>36</v>
      </c>
      <c r="G24" s="37"/>
      <c r="H24" s="189" t="s">
        <v>122</v>
      </c>
      <c r="I24" s="27" t="s">
        <v>123</v>
      </c>
      <c r="J24" s="5" t="s">
        <v>111</v>
      </c>
      <c r="K24" s="3" t="s">
        <v>124</v>
      </c>
      <c r="L24" s="27" t="str">
        <f>VLOOKUP(K24,[1]CódigosRetorno!$A$2:$B$1996,2,FALSE)</f>
        <v>cbc:Note - El campo observaciones supera la cantidad maxima especificada (250 carácteres).</v>
      </c>
      <c r="M24" s="5" t="s">
        <v>67</v>
      </c>
      <c r="N24" s="5"/>
      <c r="O24" s="6"/>
    </row>
    <row r="25" spans="1:15" x14ac:dyDescent="0.25">
      <c r="A25" s="6"/>
      <c r="B25" s="38" t="s">
        <v>125</v>
      </c>
      <c r="C25" s="39"/>
      <c r="D25" s="23"/>
      <c r="E25" s="23"/>
      <c r="F25" s="23"/>
      <c r="G25" s="24"/>
      <c r="H25" s="25"/>
      <c r="I25" s="23"/>
      <c r="J25" s="23"/>
      <c r="K25" s="23"/>
      <c r="L25" s="23"/>
      <c r="M25" s="24"/>
      <c r="N25" s="26"/>
      <c r="O25" s="6"/>
    </row>
    <row r="26" spans="1:15" ht="18.75" customHeight="1" x14ac:dyDescent="0.25">
      <c r="A26" s="6"/>
      <c r="B26" s="277">
        <f>B24+1</f>
        <v>8</v>
      </c>
      <c r="C26" s="273" t="s">
        <v>126</v>
      </c>
      <c r="D26" s="280" t="s">
        <v>61</v>
      </c>
      <c r="E26" s="282" t="s">
        <v>5</v>
      </c>
      <c r="F26" s="269" t="s">
        <v>17</v>
      </c>
      <c r="G26" s="269" t="s">
        <v>127</v>
      </c>
      <c r="H26" s="265" t="s">
        <v>128</v>
      </c>
      <c r="I26" s="27" t="s">
        <v>129</v>
      </c>
      <c r="J26" s="5" t="s">
        <v>65</v>
      </c>
      <c r="K26" s="3" t="s">
        <v>130</v>
      </c>
      <c r="L26" s="27" t="str">
        <f>VLOOKUP(K26,[1]CódigosRetorno!$A$2:$B$1996,2,FALSE)</f>
        <v>El XML no contiene el atributo o no existe información del tipo de documento del emisor</v>
      </c>
      <c r="M26" s="28" t="s">
        <v>67</v>
      </c>
      <c r="N26" s="28"/>
      <c r="O26" s="6"/>
    </row>
    <row r="27" spans="1:15" ht="38.25" customHeight="1" x14ac:dyDescent="0.25">
      <c r="A27" s="6"/>
      <c r="B27" s="278"/>
      <c r="C27" s="279"/>
      <c r="D27" s="281"/>
      <c r="E27" s="283"/>
      <c r="F27" s="269"/>
      <c r="G27" s="269"/>
      <c r="H27" s="265"/>
      <c r="I27" s="27" t="s">
        <v>131</v>
      </c>
      <c r="J27" s="5" t="s">
        <v>65</v>
      </c>
      <c r="K27" s="3" t="s">
        <v>132</v>
      </c>
      <c r="L27" s="27" t="str">
        <f>VLOOKUP(K27,[1]CódigosRetorno!$A$2:$B$1996,2,FALSE)</f>
        <v>El tipo de documento no es aceptado.</v>
      </c>
      <c r="M27" s="28" t="s">
        <v>67</v>
      </c>
      <c r="N27" s="28"/>
      <c r="O27" s="6"/>
    </row>
    <row r="28" spans="1:15" ht="24" x14ac:dyDescent="0.25">
      <c r="A28" s="6"/>
      <c r="B28" s="278"/>
      <c r="C28" s="279"/>
      <c r="D28" s="281"/>
      <c r="E28" s="283"/>
      <c r="F28" s="269"/>
      <c r="G28" s="190" t="s">
        <v>133</v>
      </c>
      <c r="H28" s="193" t="s">
        <v>134</v>
      </c>
      <c r="I28" s="33" t="s">
        <v>135</v>
      </c>
      <c r="J28" s="5" t="s">
        <v>111</v>
      </c>
      <c r="K28" s="3" t="s">
        <v>136</v>
      </c>
      <c r="L28" s="27" t="str">
        <f>VLOOKUP(K28,[1]CódigosRetorno!$A$2:$B$1996,2,FALSE)</f>
        <v>El dato ingresado como atributo @schemeName es incorrecto.</v>
      </c>
      <c r="M28" s="28" t="s">
        <v>67</v>
      </c>
      <c r="N28" s="28"/>
      <c r="O28" s="6"/>
    </row>
    <row r="29" spans="1:15" ht="24" x14ac:dyDescent="0.25">
      <c r="A29" s="6"/>
      <c r="B29" s="278"/>
      <c r="C29" s="279"/>
      <c r="D29" s="281"/>
      <c r="E29" s="283"/>
      <c r="F29" s="269"/>
      <c r="G29" s="190" t="s">
        <v>108</v>
      </c>
      <c r="H29" s="193" t="s">
        <v>137</v>
      </c>
      <c r="I29" s="33" t="s">
        <v>110</v>
      </c>
      <c r="J29" s="5" t="s">
        <v>111</v>
      </c>
      <c r="K29" s="3" t="s">
        <v>138</v>
      </c>
      <c r="L29" s="27" t="str">
        <f>VLOOKUP(K29,[1]CódigosRetorno!$A$2:$B$1996,2,FALSE)</f>
        <v>El dato ingresado como atributo @schemeAgencyName es incorrecto.</v>
      </c>
      <c r="M29" s="28" t="s">
        <v>67</v>
      </c>
      <c r="N29" s="28"/>
      <c r="O29" s="6"/>
    </row>
    <row r="30" spans="1:15" ht="36" x14ac:dyDescent="0.25">
      <c r="A30" s="6"/>
      <c r="B30" s="278"/>
      <c r="C30" s="279"/>
      <c r="D30" s="281"/>
      <c r="E30" s="283"/>
      <c r="F30" s="269"/>
      <c r="G30" s="190" t="s">
        <v>139</v>
      </c>
      <c r="H30" s="193" t="s">
        <v>140</v>
      </c>
      <c r="I30" s="33" t="s">
        <v>141</v>
      </c>
      <c r="J30" s="5" t="s">
        <v>111</v>
      </c>
      <c r="K30" s="3" t="s">
        <v>142</v>
      </c>
      <c r="L30" s="27" t="str">
        <f>VLOOKUP(K30,[1]CódigosRetorno!$A$2:$B$1996,2,FALSE)</f>
        <v>El dato ingresado como atributo @schemeURI es incorrecto.</v>
      </c>
      <c r="M30" s="28" t="s">
        <v>67</v>
      </c>
      <c r="N30" s="5"/>
      <c r="O30" s="6"/>
    </row>
    <row r="31" spans="1:15" ht="24" customHeight="1" x14ac:dyDescent="0.25">
      <c r="A31" s="6"/>
      <c r="B31" s="278"/>
      <c r="C31" s="279"/>
      <c r="D31" s="281"/>
      <c r="E31" s="283"/>
      <c r="F31" s="269" t="s">
        <v>143</v>
      </c>
      <c r="G31" s="269" t="s">
        <v>144</v>
      </c>
      <c r="H31" s="265" t="s">
        <v>145</v>
      </c>
      <c r="I31" s="27" t="s">
        <v>146</v>
      </c>
      <c r="J31" s="3" t="s">
        <v>65</v>
      </c>
      <c r="K31" s="3" t="s">
        <v>147</v>
      </c>
      <c r="L31" s="27" t="str">
        <f>VLOOKUP(K31,[1]CódigosRetorno!$A$2:$B$1996,2,FALSE)</f>
        <v>Número de RUC del nombre del archivo no coincide con el consignado en el contenido del archivo XML</v>
      </c>
      <c r="M31" s="28" t="s">
        <v>67</v>
      </c>
      <c r="N31" s="28"/>
      <c r="O31" s="6"/>
    </row>
    <row r="32" spans="1:15" ht="24" x14ac:dyDescent="0.25">
      <c r="A32" s="6"/>
      <c r="B32" s="278"/>
      <c r="C32" s="279"/>
      <c r="D32" s="281"/>
      <c r="E32" s="283"/>
      <c r="F32" s="269"/>
      <c r="G32" s="269"/>
      <c r="H32" s="265"/>
      <c r="I32" s="27" t="s">
        <v>148</v>
      </c>
      <c r="J32" s="3" t="s">
        <v>65</v>
      </c>
      <c r="K32" s="3" t="s">
        <v>149</v>
      </c>
      <c r="L32" s="27" t="str">
        <f>VLOOKUP(K32,[1]CódigosRetorno!$A$2:$B$1996,2,FALSE)</f>
        <v>El contribuyente no esta activo</v>
      </c>
      <c r="M32" s="28" t="s">
        <v>85</v>
      </c>
      <c r="N32" s="28" t="s">
        <v>150</v>
      </c>
      <c r="O32" s="6"/>
    </row>
    <row r="33" spans="1:15" ht="24" x14ac:dyDescent="0.25">
      <c r="A33" s="6"/>
      <c r="B33" s="278"/>
      <c r="C33" s="279"/>
      <c r="D33" s="281"/>
      <c r="E33" s="283"/>
      <c r="F33" s="269"/>
      <c r="G33" s="269"/>
      <c r="H33" s="265"/>
      <c r="I33" s="27" t="s">
        <v>151</v>
      </c>
      <c r="J33" s="3" t="s">
        <v>65</v>
      </c>
      <c r="K33" s="3" t="s">
        <v>152</v>
      </c>
      <c r="L33" s="27" t="str">
        <f>VLOOKUP(K33,[1]CódigosRetorno!$A$2:$B$1996,2,FALSE)</f>
        <v>El contribuyente no esta habido</v>
      </c>
      <c r="M33" s="28" t="s">
        <v>85</v>
      </c>
      <c r="N33" s="28" t="s">
        <v>150</v>
      </c>
      <c r="O33" s="6"/>
    </row>
    <row r="34" spans="1:15" ht="54.75" customHeight="1" x14ac:dyDescent="0.25">
      <c r="A34" s="6"/>
      <c r="B34" s="278"/>
      <c r="C34" s="279"/>
      <c r="D34" s="281"/>
      <c r="E34" s="283"/>
      <c r="F34" s="269"/>
      <c r="G34" s="269"/>
      <c r="H34" s="265"/>
      <c r="I34" s="27" t="s">
        <v>153</v>
      </c>
      <c r="J34" s="3" t="s">
        <v>65</v>
      </c>
      <c r="K34" s="3" t="s">
        <v>154</v>
      </c>
      <c r="L34" s="27" t="str">
        <f>VLOOKUP(K34,[1]CódigosRetorno!$A$2:$B$1996,2,FALSE)</f>
        <v>El RUC no esta afecto a los tributos autorizados</v>
      </c>
      <c r="M34" s="28" t="s">
        <v>85</v>
      </c>
      <c r="N34" s="28" t="s">
        <v>155</v>
      </c>
      <c r="O34" s="6"/>
    </row>
    <row r="35" spans="1:15" ht="24" x14ac:dyDescent="0.25">
      <c r="A35" s="6"/>
      <c r="B35" s="276">
        <f>+B26+1</f>
        <v>9</v>
      </c>
      <c r="C35" s="267" t="s">
        <v>156</v>
      </c>
      <c r="D35" s="268" t="s">
        <v>61</v>
      </c>
      <c r="E35" s="269" t="s">
        <v>5</v>
      </c>
      <c r="F35" s="269" t="s">
        <v>36</v>
      </c>
      <c r="G35" s="268"/>
      <c r="H35" s="265" t="s">
        <v>157</v>
      </c>
      <c r="I35" s="27" t="s">
        <v>64</v>
      </c>
      <c r="J35" s="5" t="s">
        <v>65</v>
      </c>
      <c r="K35" s="3" t="s">
        <v>158</v>
      </c>
      <c r="L35" s="27" t="str">
        <f>VLOOKUP(K35,[1]CódigosRetorno!$A$2:$B$1996,2,FALSE)</f>
        <v>El XML no contiene el tag o no existe informacion de RegistrationName del emisor del documento</v>
      </c>
      <c r="M35" s="28" t="s">
        <v>67</v>
      </c>
      <c r="N35" s="28"/>
      <c r="O35" s="6"/>
    </row>
    <row r="36" spans="1:15" ht="60" x14ac:dyDescent="0.25">
      <c r="A36" s="6"/>
      <c r="B36" s="276"/>
      <c r="C36" s="267"/>
      <c r="D36" s="268"/>
      <c r="E36" s="269"/>
      <c r="F36" s="269"/>
      <c r="G36" s="268"/>
      <c r="H36" s="265"/>
      <c r="I36" s="27" t="s">
        <v>159</v>
      </c>
      <c r="J36" s="5" t="s">
        <v>111</v>
      </c>
      <c r="K36" s="3" t="s">
        <v>160</v>
      </c>
      <c r="L36" s="27" t="str">
        <f>VLOOKUP(K36,[1]CódigosRetorno!$A$2:$B$1996,2,FALSE)</f>
        <v>RegistrationName - El nombre o razon social del emisor no cumple con el estandar</v>
      </c>
      <c r="M36" s="28" t="s">
        <v>67</v>
      </c>
      <c r="N36" s="28"/>
      <c r="O36" s="6"/>
    </row>
    <row r="37" spans="1:15" ht="60" x14ac:dyDescent="0.25">
      <c r="A37" s="6"/>
      <c r="B37" s="268">
        <f>B35+1</f>
        <v>10</v>
      </c>
      <c r="C37" s="267" t="s">
        <v>161</v>
      </c>
      <c r="D37" s="268" t="s">
        <v>61</v>
      </c>
      <c r="E37" s="269" t="s">
        <v>15</v>
      </c>
      <c r="F37" s="271" t="s">
        <v>162</v>
      </c>
      <c r="G37" s="280"/>
      <c r="H37" s="273" t="s">
        <v>163</v>
      </c>
      <c r="I37" s="27" t="s">
        <v>164</v>
      </c>
      <c r="J37" s="5" t="s">
        <v>111</v>
      </c>
      <c r="K37" s="3" t="s">
        <v>165</v>
      </c>
      <c r="L37" s="27" t="str">
        <f>VLOOKUP(K37,[1]CódigosRetorno!$A$2:$B$1996,2,FALSE)</f>
        <v>El dato ingresado como numero de autorizacion del Remitente no cumple con el formato establecido</v>
      </c>
      <c r="M37" s="28" t="s">
        <v>67</v>
      </c>
      <c r="N37" s="28"/>
      <c r="O37" s="6"/>
    </row>
    <row r="38" spans="1:15" ht="24" x14ac:dyDescent="0.25">
      <c r="A38" s="6"/>
      <c r="B38" s="268"/>
      <c r="C38" s="267"/>
      <c r="D38" s="268"/>
      <c r="E38" s="269"/>
      <c r="F38" s="272"/>
      <c r="G38" s="284"/>
      <c r="H38" s="274"/>
      <c r="I38" s="27" t="s">
        <v>166</v>
      </c>
      <c r="J38" s="5" t="s">
        <v>65</v>
      </c>
      <c r="K38" s="3" t="s">
        <v>167</v>
      </c>
      <c r="L38" s="27" t="str">
        <f>VLOOKUP(K38,[1]CódigosRetorno!$A$2:$B$1996,2,FALSE)</f>
        <v>Solo debe consignar un Numero de autorizacion</v>
      </c>
      <c r="M38" s="28" t="s">
        <v>67</v>
      </c>
      <c r="N38" s="28"/>
      <c r="O38" s="6"/>
    </row>
    <row r="39" spans="1:15" ht="48" customHeight="1" x14ac:dyDescent="0.25">
      <c r="A39" s="6"/>
      <c r="B39" s="268"/>
      <c r="C39" s="267"/>
      <c r="D39" s="268"/>
      <c r="E39" s="269"/>
      <c r="F39" s="271" t="s">
        <v>30</v>
      </c>
      <c r="G39" s="282" t="s">
        <v>168</v>
      </c>
      <c r="H39" s="273" t="s">
        <v>169</v>
      </c>
      <c r="I39" s="27" t="s">
        <v>170</v>
      </c>
      <c r="J39" s="5" t="s">
        <v>111</v>
      </c>
      <c r="K39" s="3" t="s">
        <v>171</v>
      </c>
      <c r="L39" s="27" t="str">
        <f>VLOOKUP(K39,[1]CódigosRetorno!$A$2:$B$1996,2,FALSE)</f>
        <v>El Codigo de entidad autorizadora es invalido</v>
      </c>
      <c r="M39" s="28" t="s">
        <v>67</v>
      </c>
      <c r="N39" s="31" t="s">
        <v>172</v>
      </c>
      <c r="O39" s="6"/>
    </row>
    <row r="40" spans="1:15" ht="24" x14ac:dyDescent="0.25">
      <c r="A40" s="6"/>
      <c r="B40" s="268"/>
      <c r="C40" s="267"/>
      <c r="D40" s="268"/>
      <c r="E40" s="269"/>
      <c r="F40" s="285"/>
      <c r="G40" s="283"/>
      <c r="H40" s="279"/>
      <c r="I40" s="27" t="s">
        <v>173</v>
      </c>
      <c r="J40" s="5" t="s">
        <v>111</v>
      </c>
      <c r="K40" s="3" t="s">
        <v>174</v>
      </c>
      <c r="L40" s="27" t="str">
        <f>VLOOKUP(K40,[1]CódigosRetorno!$A$2:$B$1996,2,FALSE)</f>
        <v>Debe indicar la entidad autorizadora de la autorizacion especial</v>
      </c>
      <c r="M40" s="28" t="s">
        <v>67</v>
      </c>
      <c r="N40" s="31"/>
      <c r="O40" s="6"/>
    </row>
    <row r="41" spans="1:15" ht="24" x14ac:dyDescent="0.25">
      <c r="A41" s="6"/>
      <c r="B41" s="268"/>
      <c r="C41" s="267"/>
      <c r="D41" s="268"/>
      <c r="E41" s="269"/>
      <c r="F41" s="272"/>
      <c r="G41" s="286"/>
      <c r="H41" s="274"/>
      <c r="I41" s="27" t="s">
        <v>175</v>
      </c>
      <c r="J41" s="5" t="s">
        <v>111</v>
      </c>
      <c r="K41" s="3" t="s">
        <v>176</v>
      </c>
      <c r="L41" s="27" t="str">
        <f>VLOOKUP(K41,[1]CódigosRetorno!$A$2:$B$1996,2,FALSE)</f>
        <v>SI existe el Codigo de entidad autorizadora, debe consignar el Numero de autorizacion especial de la empresa</v>
      </c>
      <c r="M41" s="28" t="s">
        <v>67</v>
      </c>
      <c r="N41" s="31"/>
      <c r="O41" s="6"/>
    </row>
    <row r="42" spans="1:15" ht="24" x14ac:dyDescent="0.25">
      <c r="A42" s="6"/>
      <c r="B42" s="268"/>
      <c r="C42" s="267"/>
      <c r="D42" s="268"/>
      <c r="E42" s="269"/>
      <c r="F42" s="268"/>
      <c r="G42" s="188" t="s">
        <v>177</v>
      </c>
      <c r="H42" s="189" t="s">
        <v>134</v>
      </c>
      <c r="I42" s="33" t="s">
        <v>178</v>
      </c>
      <c r="J42" s="5" t="s">
        <v>111</v>
      </c>
      <c r="K42" s="3" t="s">
        <v>136</v>
      </c>
      <c r="L42" s="27" t="str">
        <f>VLOOKUP(K42,[1]CódigosRetorno!$A$2:$B$1996,2,FALSE)</f>
        <v>El dato ingresado como atributo @schemeName es incorrecto.</v>
      </c>
      <c r="M42" s="28" t="s">
        <v>67</v>
      </c>
      <c r="N42" s="28"/>
      <c r="O42" s="6"/>
    </row>
    <row r="43" spans="1:15" ht="24" x14ac:dyDescent="0.25">
      <c r="A43" s="6"/>
      <c r="B43" s="268"/>
      <c r="C43" s="267"/>
      <c r="D43" s="268"/>
      <c r="E43" s="269"/>
      <c r="F43" s="268"/>
      <c r="G43" s="188" t="s">
        <v>108</v>
      </c>
      <c r="H43" s="189" t="s">
        <v>137</v>
      </c>
      <c r="I43" s="33" t="s">
        <v>110</v>
      </c>
      <c r="J43" s="5" t="s">
        <v>111</v>
      </c>
      <c r="K43" s="3" t="s">
        <v>138</v>
      </c>
      <c r="L43" s="27" t="str">
        <f>VLOOKUP(K43,[1]CódigosRetorno!$A$2:$B$1996,2,FALSE)</f>
        <v>El dato ingresado como atributo @schemeAgencyName es incorrecto.</v>
      </c>
      <c r="M43" s="28" t="s">
        <v>67</v>
      </c>
      <c r="N43" s="28"/>
      <c r="O43" s="6"/>
    </row>
    <row r="44" spans="1:15" x14ac:dyDescent="0.25">
      <c r="A44" s="6"/>
      <c r="B44" s="38" t="s">
        <v>179</v>
      </c>
      <c r="C44" s="39"/>
      <c r="D44" s="23"/>
      <c r="E44" s="23"/>
      <c r="F44" s="23"/>
      <c r="G44" s="24"/>
      <c r="H44" s="25"/>
      <c r="I44" s="23"/>
      <c r="J44" s="23"/>
      <c r="K44" s="23"/>
      <c r="L44" s="23"/>
      <c r="M44" s="24"/>
      <c r="N44" s="26"/>
      <c r="O44" s="6"/>
    </row>
    <row r="45" spans="1:15" ht="24" x14ac:dyDescent="0.25">
      <c r="A45" s="6"/>
      <c r="B45" s="276">
        <v>11</v>
      </c>
      <c r="C45" s="267" t="s">
        <v>180</v>
      </c>
      <c r="D45" s="268" t="s">
        <v>61</v>
      </c>
      <c r="E45" s="269" t="s">
        <v>15</v>
      </c>
      <c r="F45" s="269" t="s">
        <v>181</v>
      </c>
      <c r="G45" s="268"/>
      <c r="H45" s="265" t="s">
        <v>182</v>
      </c>
      <c r="I45" s="27" t="s">
        <v>183</v>
      </c>
      <c r="J45" s="5" t="s">
        <v>111</v>
      </c>
      <c r="K45" s="3" t="s">
        <v>184</v>
      </c>
      <c r="L45" s="27" t="str">
        <f>VLOOKUP(K45,[1]CódigosRetorno!$A$2:$B$1996,2,FALSE)</f>
        <v>El XML no contiene el tag o no existe informacion de la descripcion del tipo de documento relacionado</v>
      </c>
      <c r="M45" s="28" t="s">
        <v>67</v>
      </c>
      <c r="N45" s="27"/>
      <c r="O45" s="6"/>
    </row>
    <row r="46" spans="1:15" ht="24" x14ac:dyDescent="0.25">
      <c r="A46" s="6"/>
      <c r="B46" s="276"/>
      <c r="C46" s="267"/>
      <c r="D46" s="268"/>
      <c r="E46" s="269"/>
      <c r="F46" s="269"/>
      <c r="G46" s="268"/>
      <c r="H46" s="265"/>
      <c r="I46" s="27" t="s">
        <v>185</v>
      </c>
      <c r="J46" s="5" t="s">
        <v>111</v>
      </c>
      <c r="K46" s="3" t="s">
        <v>186</v>
      </c>
      <c r="L46" s="27" t="str">
        <f>VLOOKUP(K46,[1]CódigosRetorno!$A$2:$B$1996,2,FALSE)</f>
        <v>Si existe descripcion del documento relacionado debe existir informacion del codigo y numero del documento relacionado</v>
      </c>
      <c r="M46" s="28" t="s">
        <v>67</v>
      </c>
      <c r="N46" s="27"/>
      <c r="O46" s="6"/>
    </row>
    <row r="47" spans="1:15" ht="72" x14ac:dyDescent="0.25">
      <c r="A47" s="6"/>
      <c r="B47" s="276"/>
      <c r="C47" s="267"/>
      <c r="D47" s="268"/>
      <c r="E47" s="269"/>
      <c r="F47" s="269"/>
      <c r="G47" s="268"/>
      <c r="H47" s="265"/>
      <c r="I47" s="40" t="s">
        <v>187</v>
      </c>
      <c r="J47" s="5" t="s">
        <v>111</v>
      </c>
      <c r="K47" s="3" t="s">
        <v>188</v>
      </c>
      <c r="L47" s="27" t="str">
        <f>VLOOKUP(K47,[1]CódigosRetorno!$A$2:$B$1996,2,FALSE)</f>
        <v>La descripcion del tipo de documento relacionado no cumple con el estandar</v>
      </c>
      <c r="M47" s="28" t="s">
        <v>67</v>
      </c>
      <c r="N47" s="27"/>
      <c r="O47" s="6"/>
    </row>
    <row r="48" spans="1:15" ht="24" x14ac:dyDescent="0.25">
      <c r="A48" s="6"/>
      <c r="B48" s="276">
        <f>+B45+1</f>
        <v>12</v>
      </c>
      <c r="C48" s="267" t="s">
        <v>189</v>
      </c>
      <c r="D48" s="268" t="s">
        <v>61</v>
      </c>
      <c r="E48" s="269" t="s">
        <v>15</v>
      </c>
      <c r="F48" s="269" t="s">
        <v>30</v>
      </c>
      <c r="G48" s="269" t="s">
        <v>190</v>
      </c>
      <c r="H48" s="265" t="s">
        <v>191</v>
      </c>
      <c r="I48" s="27" t="s">
        <v>192</v>
      </c>
      <c r="J48" s="5" t="s">
        <v>65</v>
      </c>
      <c r="K48" s="3" t="s">
        <v>193</v>
      </c>
      <c r="L48" s="27" t="str">
        <f>VLOOKUP(K48,[1]CódigosRetorno!$A$2:$B$1996,2,FALSE)</f>
        <v>El tipo de documento relacionado no es válido</v>
      </c>
      <c r="M48" s="28" t="s">
        <v>67</v>
      </c>
      <c r="N48" s="5" t="s">
        <v>194</v>
      </c>
      <c r="O48" s="6"/>
    </row>
    <row r="49" spans="1:15" ht="24" x14ac:dyDescent="0.25">
      <c r="A49" s="6"/>
      <c r="B49" s="276"/>
      <c r="C49" s="267"/>
      <c r="D49" s="268"/>
      <c r="E49" s="269"/>
      <c r="F49" s="269"/>
      <c r="G49" s="269"/>
      <c r="H49" s="265"/>
      <c r="I49" s="27" t="s">
        <v>195</v>
      </c>
      <c r="J49" s="5" t="s">
        <v>65</v>
      </c>
      <c r="K49" s="3" t="s">
        <v>196</v>
      </c>
      <c r="L49" s="27" t="str">
        <f>VLOOKUP(K49,[1]CódigosRetorno!$A$2:$B$1996,2,FALSE)</f>
        <v>El XML no contiene el tag o no existe informacion del numero de documento relacionado</v>
      </c>
      <c r="M49" s="28" t="s">
        <v>67</v>
      </c>
      <c r="N49" s="5"/>
      <c r="O49" s="6"/>
    </row>
    <row r="50" spans="1:15" ht="48" x14ac:dyDescent="0.25">
      <c r="A50" s="6"/>
      <c r="B50" s="276"/>
      <c r="C50" s="267"/>
      <c r="D50" s="268"/>
      <c r="E50" s="269"/>
      <c r="F50" s="269"/>
      <c r="G50" s="269"/>
      <c r="H50" s="265"/>
      <c r="I50" s="27" t="s">
        <v>197</v>
      </c>
      <c r="J50" s="5" t="s">
        <v>65</v>
      </c>
      <c r="K50" s="3" t="s">
        <v>198</v>
      </c>
      <c r="L50" s="27" t="str">
        <f>VLOOKUP(K50,[1]CódigosRetorno!$A$2:$B$1996,2,FALSE)</f>
        <v>No se ha ingresado el tipo Declaracion Aduanera de Mercancias (DAM) o el Declaracion Simplificada (DS)  para el motivo de traslado selecionado</v>
      </c>
      <c r="M50" s="28" t="s">
        <v>67</v>
      </c>
      <c r="N50" s="5"/>
      <c r="O50" s="6"/>
    </row>
    <row r="51" spans="1:15" ht="48" x14ac:dyDescent="0.25">
      <c r="A51" s="6"/>
      <c r="B51" s="276"/>
      <c r="C51" s="267"/>
      <c r="D51" s="268"/>
      <c r="E51" s="269"/>
      <c r="F51" s="269"/>
      <c r="G51" s="269"/>
      <c r="H51" s="265"/>
      <c r="I51" s="27" t="s">
        <v>199</v>
      </c>
      <c r="J51" s="5" t="s">
        <v>65</v>
      </c>
      <c r="K51" s="3" t="s">
        <v>200</v>
      </c>
      <c r="L51" s="27" t="str">
        <f>VLOOKUP(K51,[1]CódigosRetorno!$A$2:$B$1996,2,FALSE)</f>
        <v>El tipo de documento relacionado no corresponde para motivo de traslado seleccionado</v>
      </c>
      <c r="M51" s="28" t="s">
        <v>67</v>
      </c>
      <c r="N51" s="5"/>
      <c r="O51" s="6"/>
    </row>
    <row r="52" spans="1:15" ht="48" x14ac:dyDescent="0.25">
      <c r="A52" s="6"/>
      <c r="B52" s="276"/>
      <c r="C52" s="267"/>
      <c r="D52" s="268"/>
      <c r="E52" s="269"/>
      <c r="F52" s="269"/>
      <c r="G52" s="269"/>
      <c r="H52" s="265"/>
      <c r="I52" s="27" t="s">
        <v>201</v>
      </c>
      <c r="J52" s="5" t="s">
        <v>65</v>
      </c>
      <c r="K52" s="3" t="s">
        <v>200</v>
      </c>
      <c r="L52" s="27" t="str">
        <f>VLOOKUP(K52,[1]CódigosRetorno!$A$2:$B$1996,2,FALSE)</f>
        <v>El tipo de documento relacionado no corresponde para motivo de traslado seleccionado</v>
      </c>
      <c r="M52" s="28" t="s">
        <v>67</v>
      </c>
      <c r="N52" s="5"/>
      <c r="O52" s="6"/>
    </row>
    <row r="53" spans="1:15" ht="69.75" customHeight="1" x14ac:dyDescent="0.25">
      <c r="A53" s="6"/>
      <c r="B53" s="276"/>
      <c r="C53" s="267"/>
      <c r="D53" s="268"/>
      <c r="E53" s="269"/>
      <c r="F53" s="269"/>
      <c r="G53" s="269"/>
      <c r="H53" s="265"/>
      <c r="I53" s="27" t="s">
        <v>202</v>
      </c>
      <c r="J53" s="5" t="s">
        <v>65</v>
      </c>
      <c r="K53" s="3" t="s">
        <v>203</v>
      </c>
      <c r="L53" s="27" t="str">
        <f>VLOOKUP(K53,[1]CódigosRetorno!$A$2:$B$1996,2,FALSE)</f>
        <v>Si ingreso un documento relacionado tipo "49" (solo en caso de GRE-Remitente) u "80", debe existir al menos un item con Partida arancelaria</v>
      </c>
      <c r="M53" s="28" t="s">
        <v>67</v>
      </c>
      <c r="N53" s="5"/>
      <c r="O53" s="6"/>
    </row>
    <row r="54" spans="1:15" ht="24" x14ac:dyDescent="0.25">
      <c r="A54" s="6"/>
      <c r="B54" s="276"/>
      <c r="C54" s="267"/>
      <c r="D54" s="268"/>
      <c r="E54" s="269"/>
      <c r="F54" s="269"/>
      <c r="G54" s="188" t="s">
        <v>108</v>
      </c>
      <c r="H54" s="191" t="s">
        <v>109</v>
      </c>
      <c r="I54" s="33" t="s">
        <v>110</v>
      </c>
      <c r="J54" s="34" t="s">
        <v>111</v>
      </c>
      <c r="K54" s="30" t="s">
        <v>112</v>
      </c>
      <c r="L54" s="27" t="str">
        <f>VLOOKUP(K54,[1]CódigosRetorno!$A$2:$B$1996,2,FALSE)</f>
        <v>El dato ingresado como atributo @listAgencyName es incorrecto.</v>
      </c>
      <c r="M54" s="28" t="s">
        <v>67</v>
      </c>
      <c r="N54" s="5"/>
      <c r="O54" s="6"/>
    </row>
    <row r="55" spans="1:15" ht="36" x14ac:dyDescent="0.25">
      <c r="A55" s="6"/>
      <c r="B55" s="276"/>
      <c r="C55" s="267"/>
      <c r="D55" s="268"/>
      <c r="E55" s="269"/>
      <c r="F55" s="269"/>
      <c r="G55" s="188" t="s">
        <v>204</v>
      </c>
      <c r="H55" s="191" t="s">
        <v>114</v>
      </c>
      <c r="I55" s="33" t="s">
        <v>205</v>
      </c>
      <c r="J55" s="30" t="s">
        <v>111</v>
      </c>
      <c r="K55" s="35" t="s">
        <v>116</v>
      </c>
      <c r="L55" s="27" t="str">
        <f>VLOOKUP(K55,[1]CódigosRetorno!$A$2:$B$1996,2,FALSE)</f>
        <v>El dato ingresado como atributo @listName es incorrecto.</v>
      </c>
      <c r="M55" s="28" t="s">
        <v>67</v>
      </c>
      <c r="N55" s="5"/>
      <c r="O55" s="6"/>
    </row>
    <row r="56" spans="1:15" ht="36" x14ac:dyDescent="0.25">
      <c r="A56" s="6"/>
      <c r="B56" s="276"/>
      <c r="C56" s="267"/>
      <c r="D56" s="268"/>
      <c r="E56" s="269"/>
      <c r="F56" s="269"/>
      <c r="G56" s="188" t="s">
        <v>206</v>
      </c>
      <c r="H56" s="191" t="s">
        <v>118</v>
      </c>
      <c r="I56" s="33" t="s">
        <v>207</v>
      </c>
      <c r="J56" s="30" t="s">
        <v>111</v>
      </c>
      <c r="K56" s="35" t="s">
        <v>120</v>
      </c>
      <c r="L56" s="27" t="str">
        <f>VLOOKUP(K56,[1]CódigosRetorno!$A$2:$B$1996,2,FALSE)</f>
        <v>El dato ingresado como atributo @listURI es incorrecto.</v>
      </c>
      <c r="M56" s="28" t="s">
        <v>67</v>
      </c>
      <c r="N56" s="5"/>
      <c r="O56" s="6"/>
    </row>
    <row r="57" spans="1:15" ht="36" x14ac:dyDescent="0.25">
      <c r="A57" s="6"/>
      <c r="B57" s="276">
        <f>B48+1</f>
        <v>13</v>
      </c>
      <c r="C57" s="267" t="s">
        <v>208</v>
      </c>
      <c r="D57" s="268" t="s">
        <v>61</v>
      </c>
      <c r="E57" s="269" t="s">
        <v>15</v>
      </c>
      <c r="F57" s="269" t="s">
        <v>35</v>
      </c>
      <c r="G57" s="287"/>
      <c r="H57" s="265" t="s">
        <v>209</v>
      </c>
      <c r="I57" s="27" t="s">
        <v>210</v>
      </c>
      <c r="J57" s="5" t="s">
        <v>65</v>
      </c>
      <c r="K57" s="3" t="s">
        <v>211</v>
      </c>
      <c r="L57" s="27" t="str">
        <f>VLOOKUP(K57,[1]CódigosRetorno!$A$2:$B$1996,2,FALSE)</f>
        <v>El documento relacionado al traslado de mercancias se encuentra duplicado</v>
      </c>
      <c r="M57" s="28" t="s">
        <v>67</v>
      </c>
      <c r="N57" s="5"/>
      <c r="O57" s="6"/>
    </row>
    <row r="58" spans="1:15" ht="24" x14ac:dyDescent="0.25">
      <c r="A58" s="6"/>
      <c r="B58" s="276"/>
      <c r="C58" s="267"/>
      <c r="D58" s="268"/>
      <c r="E58" s="269"/>
      <c r="F58" s="269"/>
      <c r="G58" s="288"/>
      <c r="H58" s="265"/>
      <c r="I58" s="27" t="s">
        <v>212</v>
      </c>
      <c r="J58" s="5" t="s">
        <v>65</v>
      </c>
      <c r="K58" s="3" t="s">
        <v>213</v>
      </c>
      <c r="L58" s="27" t="str">
        <f>VLOOKUP(K58,[1]CódigosRetorno!$A$2:$B$1996,2,FALSE)</f>
        <v>El XML no contiene el tag o no existe informacion del Codigo de tipo de documento relacionado</v>
      </c>
      <c r="M58" s="28" t="s">
        <v>67</v>
      </c>
      <c r="N58" s="5"/>
      <c r="O58" s="6"/>
    </row>
    <row r="59" spans="1:15" ht="84" x14ac:dyDescent="0.25">
      <c r="A59" s="6"/>
      <c r="B59" s="276"/>
      <c r="C59" s="267"/>
      <c r="D59" s="268"/>
      <c r="E59" s="269"/>
      <c r="F59" s="269"/>
      <c r="G59" s="288"/>
      <c r="H59" s="265"/>
      <c r="I59" s="27" t="s">
        <v>214</v>
      </c>
      <c r="J59" s="5" t="s">
        <v>65</v>
      </c>
      <c r="K59" s="3" t="s">
        <v>215</v>
      </c>
      <c r="L59" s="27" t="str">
        <f>VLOOKUP(K59,[1]CódigosRetorno!$A$2:$B$1996,2,FALSE)</f>
        <v>El numero de documento relacionado al traslado de mercancias no cumple con el formato establecido</v>
      </c>
      <c r="M59" s="28" t="s">
        <v>67</v>
      </c>
      <c r="N59" s="5"/>
      <c r="O59" s="6"/>
    </row>
    <row r="60" spans="1:15" ht="84" x14ac:dyDescent="0.25">
      <c r="A60" s="6"/>
      <c r="B60" s="276"/>
      <c r="C60" s="267"/>
      <c r="D60" s="268"/>
      <c r="E60" s="269"/>
      <c r="F60" s="269"/>
      <c r="G60" s="288"/>
      <c r="H60" s="265"/>
      <c r="I60" s="27" t="s">
        <v>216</v>
      </c>
      <c r="J60" s="5" t="s">
        <v>65</v>
      </c>
      <c r="K60" s="3" t="s">
        <v>215</v>
      </c>
      <c r="L60" s="27" t="str">
        <f>VLOOKUP(K60,[1]CódigosRetorno!$A$2:$B$1996,2,FALSE)</f>
        <v>El numero de documento relacionado al traslado de mercancias no cumple con el formato establecido</v>
      </c>
      <c r="M60" s="28" t="s">
        <v>67</v>
      </c>
      <c r="N60" s="5"/>
      <c r="O60" s="6"/>
    </row>
    <row r="61" spans="1:15" ht="84" x14ac:dyDescent="0.25">
      <c r="A61" s="6"/>
      <c r="B61" s="276"/>
      <c r="C61" s="267"/>
      <c r="D61" s="268"/>
      <c r="E61" s="269"/>
      <c r="F61" s="269"/>
      <c r="G61" s="288"/>
      <c r="H61" s="265"/>
      <c r="I61" s="27" t="s">
        <v>217</v>
      </c>
      <c r="J61" s="5" t="s">
        <v>65</v>
      </c>
      <c r="K61" s="3" t="s">
        <v>215</v>
      </c>
      <c r="L61" s="27" t="str">
        <f>VLOOKUP(K61,[1]CódigosRetorno!$A$2:$B$1996,2,FALSE)</f>
        <v>El numero de documento relacionado al traslado de mercancias no cumple con el formato establecido</v>
      </c>
      <c r="M61" s="28" t="s">
        <v>67</v>
      </c>
      <c r="N61" s="5"/>
      <c r="O61" s="6"/>
    </row>
    <row r="62" spans="1:15" ht="84" x14ac:dyDescent="0.25">
      <c r="A62" s="6"/>
      <c r="B62" s="276"/>
      <c r="C62" s="267"/>
      <c r="D62" s="268"/>
      <c r="E62" s="269"/>
      <c r="F62" s="269"/>
      <c r="G62" s="288"/>
      <c r="H62" s="265"/>
      <c r="I62" s="27" t="s">
        <v>218</v>
      </c>
      <c r="J62" s="5" t="s">
        <v>65</v>
      </c>
      <c r="K62" s="3" t="s">
        <v>215</v>
      </c>
      <c r="L62" s="27" t="str">
        <f>VLOOKUP(K62,[1]CódigosRetorno!$A$2:$B$1996,2,FALSE)</f>
        <v>El numero de documento relacionado al traslado de mercancias no cumple con el formato establecido</v>
      </c>
      <c r="M62" s="28" t="s">
        <v>67</v>
      </c>
      <c r="N62" s="5"/>
      <c r="O62" s="6"/>
    </row>
    <row r="63" spans="1:15" ht="48" x14ac:dyDescent="0.25">
      <c r="A63" s="6"/>
      <c r="B63" s="276"/>
      <c r="C63" s="267"/>
      <c r="D63" s="268"/>
      <c r="E63" s="269"/>
      <c r="F63" s="269"/>
      <c r="G63" s="288"/>
      <c r="H63" s="265"/>
      <c r="I63" s="27" t="s">
        <v>219</v>
      </c>
      <c r="J63" s="5" t="s">
        <v>65</v>
      </c>
      <c r="K63" s="3" t="s">
        <v>215</v>
      </c>
      <c r="L63" s="27" t="str">
        <f>VLOOKUP(K63,[1]CódigosRetorno!$A$2:$B$1996,2,FALSE)</f>
        <v>El numero de documento relacionado al traslado de mercancias no cumple con el formato establecido</v>
      </c>
      <c r="M63" s="28" t="s">
        <v>67</v>
      </c>
      <c r="N63" s="5"/>
      <c r="O63" s="6"/>
    </row>
    <row r="64" spans="1:15" ht="60" x14ac:dyDescent="0.25">
      <c r="A64" s="6"/>
      <c r="B64" s="276"/>
      <c r="C64" s="267"/>
      <c r="D64" s="268"/>
      <c r="E64" s="269"/>
      <c r="F64" s="269"/>
      <c r="G64" s="288"/>
      <c r="H64" s="265"/>
      <c r="I64" s="27" t="s">
        <v>220</v>
      </c>
      <c r="J64" s="5" t="s">
        <v>65</v>
      </c>
      <c r="K64" s="3" t="s">
        <v>215</v>
      </c>
      <c r="L64" s="27" t="str">
        <f>VLOOKUP(K64,[1]CódigosRetorno!$A$2:$B$1996,2,FALSE)</f>
        <v>El numero de documento relacionado al traslado de mercancias no cumple con el formato establecido</v>
      </c>
      <c r="M64" s="28" t="s">
        <v>67</v>
      </c>
      <c r="N64" s="5"/>
      <c r="O64" s="6"/>
    </row>
    <row r="65" spans="1:15" ht="36" x14ac:dyDescent="0.25">
      <c r="A65" s="6"/>
      <c r="B65" s="276"/>
      <c r="C65" s="267"/>
      <c r="D65" s="268"/>
      <c r="E65" s="269"/>
      <c r="F65" s="269"/>
      <c r="G65" s="288"/>
      <c r="H65" s="265"/>
      <c r="I65" s="27" t="s">
        <v>221</v>
      </c>
      <c r="J65" s="5" t="s">
        <v>65</v>
      </c>
      <c r="K65" s="3" t="s">
        <v>215</v>
      </c>
      <c r="L65" s="27" t="str">
        <f>VLOOKUP(K65,[1]CódigosRetorno!$A$2:$B$1996,2,FALSE)</f>
        <v>El numero de documento relacionado al traslado de mercancias no cumple con el formato establecido</v>
      </c>
      <c r="M65" s="28" t="s">
        <v>67</v>
      </c>
      <c r="N65" s="5"/>
      <c r="O65" s="6"/>
    </row>
    <row r="66" spans="1:15" ht="36" x14ac:dyDescent="0.25">
      <c r="A66" s="6"/>
      <c r="B66" s="276"/>
      <c r="C66" s="267"/>
      <c r="D66" s="268"/>
      <c r="E66" s="269"/>
      <c r="F66" s="269"/>
      <c r="G66" s="288"/>
      <c r="H66" s="265"/>
      <c r="I66" s="27" t="s">
        <v>222</v>
      </c>
      <c r="J66" s="5" t="s">
        <v>65</v>
      </c>
      <c r="K66" s="3" t="s">
        <v>215</v>
      </c>
      <c r="L66" s="27" t="str">
        <f>VLOOKUP(K66,[1]CódigosRetorno!$A$2:$B$1996,2,FALSE)</f>
        <v>El numero de documento relacionado al traslado de mercancias no cumple con el formato establecido</v>
      </c>
      <c r="M66" s="28" t="s">
        <v>67</v>
      </c>
      <c r="N66" s="5"/>
      <c r="O66" s="6"/>
    </row>
    <row r="67" spans="1:15" ht="36" x14ac:dyDescent="0.25">
      <c r="A67" s="6"/>
      <c r="B67" s="276"/>
      <c r="C67" s="267"/>
      <c r="D67" s="268"/>
      <c r="E67" s="269"/>
      <c r="F67" s="269"/>
      <c r="G67" s="288"/>
      <c r="H67" s="265"/>
      <c r="I67" s="27" t="s">
        <v>223</v>
      </c>
      <c r="J67" s="5" t="s">
        <v>65</v>
      </c>
      <c r="K67" s="3" t="s">
        <v>215</v>
      </c>
      <c r="L67" s="27" t="str">
        <f>VLOOKUP(K67,[1]CódigosRetorno!$A$2:$B$1996,2,FALSE)</f>
        <v>El numero de documento relacionado al traslado de mercancias no cumple con el formato establecido</v>
      </c>
      <c r="M67" s="28" t="s">
        <v>67</v>
      </c>
      <c r="N67" s="5"/>
      <c r="O67" s="6"/>
    </row>
    <row r="68" spans="1:15" ht="60" x14ac:dyDescent="0.25">
      <c r="A68" s="6"/>
      <c r="B68" s="276"/>
      <c r="C68" s="267"/>
      <c r="D68" s="268"/>
      <c r="E68" s="269"/>
      <c r="F68" s="269"/>
      <c r="G68" s="288"/>
      <c r="H68" s="265"/>
      <c r="I68" s="27" t="s">
        <v>224</v>
      </c>
      <c r="J68" s="5" t="s">
        <v>65</v>
      </c>
      <c r="K68" s="3" t="s">
        <v>215</v>
      </c>
      <c r="L68" s="27" t="str">
        <f>VLOOKUP(K68,[1]CódigosRetorno!$A$2:$B$1996,2,FALSE)</f>
        <v>El numero de documento relacionado al traslado de mercancias no cumple con el formato establecido</v>
      </c>
      <c r="M68" s="28" t="s">
        <v>67</v>
      </c>
      <c r="N68" s="5"/>
      <c r="O68" s="6"/>
    </row>
    <row r="69" spans="1:15" ht="48" x14ac:dyDescent="0.25">
      <c r="A69" s="6"/>
      <c r="B69" s="276"/>
      <c r="C69" s="267"/>
      <c r="D69" s="268"/>
      <c r="E69" s="269"/>
      <c r="F69" s="269"/>
      <c r="G69" s="288"/>
      <c r="H69" s="265"/>
      <c r="I69" s="27" t="s">
        <v>225</v>
      </c>
      <c r="J69" s="5" t="s">
        <v>65</v>
      </c>
      <c r="K69" s="3" t="s">
        <v>215</v>
      </c>
      <c r="L69" s="27" t="str">
        <f>VLOOKUP(K69,[1]CódigosRetorno!$A$2:$B$1996,2,FALSE)</f>
        <v>El numero de documento relacionado al traslado de mercancias no cumple con el formato establecido</v>
      </c>
      <c r="M69" s="28" t="s">
        <v>67</v>
      </c>
      <c r="N69" s="5"/>
      <c r="O69" s="6"/>
    </row>
    <row r="70" spans="1:15" ht="48" x14ac:dyDescent="0.25">
      <c r="A70" s="6"/>
      <c r="B70" s="276"/>
      <c r="C70" s="267"/>
      <c r="D70" s="268"/>
      <c r="E70" s="269"/>
      <c r="F70" s="269"/>
      <c r="G70" s="288"/>
      <c r="H70" s="265"/>
      <c r="I70" s="27" t="s">
        <v>226</v>
      </c>
      <c r="J70" s="5" t="s">
        <v>65</v>
      </c>
      <c r="K70" s="3" t="s">
        <v>215</v>
      </c>
      <c r="L70" s="27" t="str">
        <f>VLOOKUP(K70,[1]CódigosRetorno!$A$2:$B$1996,2,FALSE)</f>
        <v>El numero de documento relacionado al traslado de mercancias no cumple con el formato establecido</v>
      </c>
      <c r="M70" s="28" t="s">
        <v>67</v>
      </c>
      <c r="N70" s="5"/>
      <c r="O70" s="6"/>
    </row>
    <row r="71" spans="1:15" ht="48" x14ac:dyDescent="0.25">
      <c r="A71" s="6"/>
      <c r="B71" s="276"/>
      <c r="C71" s="267"/>
      <c r="D71" s="268"/>
      <c r="E71" s="269"/>
      <c r="F71" s="269"/>
      <c r="G71" s="288"/>
      <c r="H71" s="265"/>
      <c r="I71" s="27" t="s">
        <v>227</v>
      </c>
      <c r="J71" s="5" t="s">
        <v>65</v>
      </c>
      <c r="K71" s="3" t="s">
        <v>215</v>
      </c>
      <c r="L71" s="27" t="str">
        <f>VLOOKUP(K71,[1]CódigosRetorno!$A$2:$B$1996,2,FALSE)</f>
        <v>El numero de documento relacionado al traslado de mercancias no cumple con el formato establecido</v>
      </c>
      <c r="M71" s="28" t="s">
        <v>67</v>
      </c>
      <c r="N71" s="5"/>
      <c r="O71" s="6"/>
    </row>
    <row r="72" spans="1:15" ht="48" x14ac:dyDescent="0.25">
      <c r="A72" s="6"/>
      <c r="B72" s="276"/>
      <c r="C72" s="267"/>
      <c r="D72" s="268"/>
      <c r="E72" s="269"/>
      <c r="F72" s="269"/>
      <c r="G72" s="288"/>
      <c r="H72" s="265"/>
      <c r="I72" s="27" t="s">
        <v>228</v>
      </c>
      <c r="J72" s="5" t="s">
        <v>65</v>
      </c>
      <c r="K72" s="3" t="s">
        <v>215</v>
      </c>
      <c r="L72" s="27" t="str">
        <f>VLOOKUP(K72,[1]CódigosRetorno!$A$2:$B$1996,2,FALSE)</f>
        <v>El numero de documento relacionado al traslado de mercancias no cumple con el formato establecido</v>
      </c>
      <c r="M72" s="28" t="s">
        <v>67</v>
      </c>
      <c r="N72" s="5"/>
      <c r="O72" s="6"/>
    </row>
    <row r="73" spans="1:15" ht="60" x14ac:dyDescent="0.25">
      <c r="A73" s="6"/>
      <c r="B73" s="276"/>
      <c r="C73" s="267"/>
      <c r="D73" s="268"/>
      <c r="E73" s="269"/>
      <c r="F73" s="269"/>
      <c r="G73" s="288"/>
      <c r="H73" s="265"/>
      <c r="I73" s="27" t="s">
        <v>229</v>
      </c>
      <c r="J73" s="5" t="s">
        <v>65</v>
      </c>
      <c r="K73" s="3" t="s">
        <v>215</v>
      </c>
      <c r="L73" s="27" t="str">
        <f>VLOOKUP(K73,[1]CódigosRetorno!$A$2:$B$1996,2,FALSE)</f>
        <v>El numero de documento relacionado al traslado de mercancias no cumple con el formato establecido</v>
      </c>
      <c r="M73" s="28" t="s">
        <v>67</v>
      </c>
      <c r="N73" s="5"/>
      <c r="O73" s="6"/>
    </row>
    <row r="74" spans="1:15" ht="48" x14ac:dyDescent="0.25">
      <c r="A74" s="6"/>
      <c r="B74" s="276"/>
      <c r="C74" s="267"/>
      <c r="D74" s="268"/>
      <c r="E74" s="269"/>
      <c r="F74" s="269"/>
      <c r="G74" s="288"/>
      <c r="H74" s="265"/>
      <c r="I74" s="27" t="s">
        <v>230</v>
      </c>
      <c r="J74" s="5" t="s">
        <v>65</v>
      </c>
      <c r="K74" s="41" t="s">
        <v>231</v>
      </c>
      <c r="L74" s="27" t="str">
        <f>VLOOKUP(K74,[1]CódigosRetorno!$A$2:$B$1996,2,FALSE)</f>
        <v>La serie y numero de la GRE consignada como documento relacionado no se encuentra registrado con baja por cambio de destinatario</v>
      </c>
      <c r="M74" s="5" t="s">
        <v>85</v>
      </c>
      <c r="N74" s="5" t="s">
        <v>232</v>
      </c>
      <c r="O74" s="6"/>
    </row>
    <row r="75" spans="1:15" ht="36" x14ac:dyDescent="0.25">
      <c r="A75" s="6"/>
      <c r="B75" s="276"/>
      <c r="C75" s="267"/>
      <c r="D75" s="268"/>
      <c r="E75" s="269"/>
      <c r="F75" s="269"/>
      <c r="G75" s="288"/>
      <c r="H75" s="265"/>
      <c r="I75" s="27" t="s">
        <v>233</v>
      </c>
      <c r="J75" s="5" t="s">
        <v>65</v>
      </c>
      <c r="K75" s="3" t="s">
        <v>234</v>
      </c>
      <c r="L75" s="27" t="str">
        <f>VLOOKUP(K75,[1]CódigosRetorno!$A$2:$B$1996,2,FALSE)</f>
        <v>No existe el numero de Declaracion Aduanera de Mercancias (DAM) o el Declaracion Simplificada (DS)</v>
      </c>
      <c r="M75" s="5" t="s">
        <v>85</v>
      </c>
      <c r="N75" s="5" t="s">
        <v>235</v>
      </c>
      <c r="O75" s="6"/>
    </row>
    <row r="76" spans="1:15" ht="72" x14ac:dyDescent="0.25">
      <c r="A76" s="6"/>
      <c r="B76" s="276"/>
      <c r="C76" s="267"/>
      <c r="D76" s="268"/>
      <c r="E76" s="269"/>
      <c r="F76" s="269"/>
      <c r="G76" s="288"/>
      <c r="H76" s="265"/>
      <c r="I76" s="27" t="s">
        <v>236</v>
      </c>
      <c r="J76" s="5" t="s">
        <v>65</v>
      </c>
      <c r="K76" s="3" t="s">
        <v>237</v>
      </c>
      <c r="L76" s="27" t="str">
        <f>VLOOKUP(K76,[1]CódigosRetorno!$A$2:$B$1996,2,FALSE)</f>
        <v>Si existe mas de una DAM o DS, deben coincidir los tipos y numeros de documento de identidad del importador o exportador consignados en dichos documentos</v>
      </c>
      <c r="M76" s="5" t="s">
        <v>85</v>
      </c>
      <c r="N76" s="5" t="s">
        <v>238</v>
      </c>
      <c r="O76" s="6"/>
    </row>
    <row r="77" spans="1:15" ht="72" x14ac:dyDescent="0.25">
      <c r="A77" s="6"/>
      <c r="B77" s="276"/>
      <c r="C77" s="267"/>
      <c r="D77" s="268"/>
      <c r="E77" s="269"/>
      <c r="F77" s="269"/>
      <c r="G77" s="288"/>
      <c r="H77" s="265"/>
      <c r="I77" s="27" t="s">
        <v>239</v>
      </c>
      <c r="J77" s="5" t="s">
        <v>65</v>
      </c>
      <c r="K77" s="3" t="s">
        <v>237</v>
      </c>
      <c r="L77" s="27" t="str">
        <f>VLOOKUP(K77,[1]CódigosRetorno!$A$2:$B$1996,2,FALSE)</f>
        <v>Si existe mas de una DAM o DS, deben coincidir los tipos y numeros de documento de identidad del importador o exportador consignados en dichos documentos</v>
      </c>
      <c r="M77" s="5" t="s">
        <v>85</v>
      </c>
      <c r="N77" s="5" t="s">
        <v>238</v>
      </c>
      <c r="O77" s="6"/>
    </row>
    <row r="78" spans="1:15" ht="72" x14ac:dyDescent="0.25">
      <c r="A78" s="6"/>
      <c r="B78" s="276"/>
      <c r="C78" s="267"/>
      <c r="D78" s="268"/>
      <c r="E78" s="269"/>
      <c r="F78" s="269"/>
      <c r="G78" s="288"/>
      <c r="H78" s="265"/>
      <c r="I78" s="27" t="s">
        <v>240</v>
      </c>
      <c r="J78" s="5" t="s">
        <v>111</v>
      </c>
      <c r="K78" s="41" t="s">
        <v>241</v>
      </c>
      <c r="L78" s="27" t="str">
        <f>VLOOKUP(K78,[1]CódigosRetorno!$A$2:$B$1996,2,FALSE)</f>
        <v>La Constancia de Deposito ingresada ya ha sido referenciada en otra GRE emitida por el mismo remitente</v>
      </c>
      <c r="M78" s="5" t="s">
        <v>85</v>
      </c>
      <c r="N78" s="5" t="s">
        <v>232</v>
      </c>
      <c r="O78" s="6"/>
    </row>
    <row r="79" spans="1:15" ht="72" x14ac:dyDescent="0.25">
      <c r="A79" s="6"/>
      <c r="B79" s="276"/>
      <c r="C79" s="267"/>
      <c r="D79" s="268"/>
      <c r="E79" s="269"/>
      <c r="F79" s="269"/>
      <c r="G79" s="288"/>
      <c r="H79" s="265"/>
      <c r="I79" s="29" t="s">
        <v>242</v>
      </c>
      <c r="J79" s="5" t="s">
        <v>65</v>
      </c>
      <c r="K79" s="41" t="s">
        <v>243</v>
      </c>
      <c r="L79" s="27" t="str">
        <f>VLOOKUP(K79,[1]CódigosRetorno!$A$2:$B$1996,2,FALSE)</f>
        <v>La Constancia de Deposito ingresada ya ha sido referenciada en otra GRE emitida</v>
      </c>
      <c r="M79" s="5" t="s">
        <v>244</v>
      </c>
      <c r="N79" s="5" t="s">
        <v>232</v>
      </c>
      <c r="O79" s="6"/>
    </row>
    <row r="80" spans="1:15" ht="48" x14ac:dyDescent="0.25">
      <c r="A80" s="6"/>
      <c r="B80" s="276"/>
      <c r="C80" s="267"/>
      <c r="D80" s="268"/>
      <c r="E80" s="269"/>
      <c r="F80" s="269"/>
      <c r="G80" s="288"/>
      <c r="H80" s="265"/>
      <c r="I80" s="27" t="s">
        <v>245</v>
      </c>
      <c r="J80" s="5" t="s">
        <v>111</v>
      </c>
      <c r="K80" s="3" t="s">
        <v>246</v>
      </c>
      <c r="L80" s="27" t="str">
        <f>VLOOKUP(K80,[1]CódigosRetorno!$A$2:$B$1996,2,FALSE)</f>
        <v xml:space="preserve">La SUNAT no cuenta con la informacion en los ultimos 15 dias de la Constancia de Deposito en sus sistemas </v>
      </c>
      <c r="M80" s="5" t="s">
        <v>85</v>
      </c>
      <c r="N80" s="5" t="s">
        <v>247</v>
      </c>
      <c r="O80" s="6"/>
    </row>
    <row r="81" spans="1:15" ht="41.45" customHeight="1" x14ac:dyDescent="0.25">
      <c r="A81" s="6"/>
      <c r="B81" s="276"/>
      <c r="C81" s="267"/>
      <c r="D81" s="268"/>
      <c r="E81" s="269"/>
      <c r="F81" s="269"/>
      <c r="G81" s="288"/>
      <c r="H81" s="265"/>
      <c r="I81" s="42" t="s">
        <v>248</v>
      </c>
      <c r="J81" s="5" t="s">
        <v>111</v>
      </c>
      <c r="K81" s="3" t="s">
        <v>249</v>
      </c>
      <c r="L81" s="27" t="str">
        <f>VLOOKUP(K81,[1]CódigosRetorno!$A$2:$B$1996,2,FALSE)</f>
        <v>El numero de comprobante consignado como documento relacionado no existe</v>
      </c>
      <c r="M81" s="5" t="s">
        <v>85</v>
      </c>
      <c r="N81" s="5" t="s">
        <v>86</v>
      </c>
      <c r="O81" s="6"/>
    </row>
    <row r="82" spans="1:15" ht="48" x14ac:dyDescent="0.25">
      <c r="A82" s="6"/>
      <c r="B82" s="276"/>
      <c r="C82" s="267"/>
      <c r="D82" s="268"/>
      <c r="E82" s="269"/>
      <c r="F82" s="269"/>
      <c r="G82" s="288"/>
      <c r="H82" s="265"/>
      <c r="I82" s="42" t="s">
        <v>250</v>
      </c>
      <c r="J82" s="5" t="s">
        <v>65</v>
      </c>
      <c r="K82" s="3" t="s">
        <v>251</v>
      </c>
      <c r="L82" s="27" t="str">
        <f>VLOOKUP(K82,[1]CódigosRetorno!$A$2:$B$1996,2,FALSE)</f>
        <v xml:space="preserve">Comprobante físico no se encuentra autorizado </v>
      </c>
      <c r="M82" s="5" t="s">
        <v>85</v>
      </c>
      <c r="N82" s="28" t="s">
        <v>252</v>
      </c>
      <c r="O82" s="6"/>
    </row>
    <row r="83" spans="1:15" ht="24" x14ac:dyDescent="0.25">
      <c r="A83" s="6"/>
      <c r="B83" s="276">
        <f>B57+1</f>
        <v>14</v>
      </c>
      <c r="C83" s="267" t="s">
        <v>253</v>
      </c>
      <c r="D83" s="268" t="s">
        <v>61</v>
      </c>
      <c r="E83" s="269" t="s">
        <v>15</v>
      </c>
      <c r="F83" s="269" t="s">
        <v>143</v>
      </c>
      <c r="G83" s="269" t="s">
        <v>144</v>
      </c>
      <c r="H83" s="289" t="s">
        <v>254</v>
      </c>
      <c r="I83" s="43" t="s">
        <v>255</v>
      </c>
      <c r="J83" s="5" t="s">
        <v>65</v>
      </c>
      <c r="K83" s="3" t="s">
        <v>256</v>
      </c>
      <c r="L83" s="27" t="str">
        <f>VLOOKUP(K83,[1]CódigosRetorno!$A$2:$B$1996,2,FALSE)</f>
        <v>Debe consignar el RUC del emisor del documento relacionado</v>
      </c>
      <c r="M83" s="28" t="s">
        <v>67</v>
      </c>
      <c r="N83" s="28"/>
      <c r="O83" s="6"/>
    </row>
    <row r="84" spans="1:15" ht="48" x14ac:dyDescent="0.25">
      <c r="A84" s="6"/>
      <c r="B84" s="276"/>
      <c r="C84" s="267"/>
      <c r="D84" s="268"/>
      <c r="E84" s="269"/>
      <c r="F84" s="269"/>
      <c r="G84" s="269"/>
      <c r="H84" s="289"/>
      <c r="I84" s="43" t="s">
        <v>257</v>
      </c>
      <c r="J84" s="5" t="s">
        <v>65</v>
      </c>
      <c r="K84" s="3" t="s">
        <v>258</v>
      </c>
      <c r="L84" s="27" t="str">
        <f>VLOOKUP(K84,[1]CódigosRetorno!$A$2:$B$1996,2,FALSE)</f>
        <v>El RUC del emisor del documento relacionado no corresponde</v>
      </c>
      <c r="M84" s="28" t="s">
        <v>67</v>
      </c>
      <c r="N84" s="28"/>
      <c r="O84" s="6"/>
    </row>
    <row r="85" spans="1:15" ht="36" x14ac:dyDescent="0.25">
      <c r="A85" s="6"/>
      <c r="B85" s="276"/>
      <c r="C85" s="267"/>
      <c r="D85" s="268"/>
      <c r="E85" s="269"/>
      <c r="F85" s="269"/>
      <c r="G85" s="269"/>
      <c r="H85" s="289"/>
      <c r="I85" s="43" t="s">
        <v>259</v>
      </c>
      <c r="J85" s="5" t="s">
        <v>65</v>
      </c>
      <c r="K85" s="3" t="s">
        <v>258</v>
      </c>
      <c r="L85" s="27" t="str">
        <f>VLOOKUP(K85,[1]CódigosRetorno!$A$2:$B$1996,2,FALSE)</f>
        <v>El RUC del emisor del documento relacionado no corresponde</v>
      </c>
      <c r="M85" s="28" t="s">
        <v>67</v>
      </c>
      <c r="N85" s="28"/>
      <c r="O85" s="6"/>
    </row>
    <row r="86" spans="1:15" ht="48" x14ac:dyDescent="0.25">
      <c r="A86" s="6"/>
      <c r="B86" s="276"/>
      <c r="C86" s="267"/>
      <c r="D86" s="268"/>
      <c r="E86" s="269"/>
      <c r="F86" s="269"/>
      <c r="G86" s="269"/>
      <c r="H86" s="289"/>
      <c r="I86" s="43" t="s">
        <v>260</v>
      </c>
      <c r="J86" s="5" t="s">
        <v>65</v>
      </c>
      <c r="K86" s="3" t="s">
        <v>258</v>
      </c>
      <c r="L86" s="27" t="str">
        <f>VLOOKUP(K86,[1]CódigosRetorno!$A$2:$B$1996,2,FALSE)</f>
        <v>El RUC del emisor del documento relacionado no corresponde</v>
      </c>
      <c r="M86" s="28" t="s">
        <v>67</v>
      </c>
      <c r="N86" s="28"/>
      <c r="O86" s="6"/>
    </row>
    <row r="87" spans="1:15" ht="48" x14ac:dyDescent="0.25">
      <c r="A87" s="6"/>
      <c r="B87" s="276"/>
      <c r="C87" s="267"/>
      <c r="D87" s="268"/>
      <c r="E87" s="269"/>
      <c r="F87" s="269"/>
      <c r="G87" s="269"/>
      <c r="H87" s="289"/>
      <c r="I87" s="43" t="s">
        <v>261</v>
      </c>
      <c r="J87" s="5" t="s">
        <v>65</v>
      </c>
      <c r="K87" s="3" t="s">
        <v>258</v>
      </c>
      <c r="L87" s="27" t="str">
        <f>VLOOKUP(K87,[1]CódigosRetorno!$A$2:$B$1996,2,FALSE)</f>
        <v>El RUC del emisor del documento relacionado no corresponde</v>
      </c>
      <c r="M87" s="28" t="s">
        <v>67</v>
      </c>
      <c r="N87" s="28"/>
      <c r="O87" s="6"/>
    </row>
    <row r="88" spans="1:15" ht="24" x14ac:dyDescent="0.25">
      <c r="A88" s="6"/>
      <c r="B88" s="276"/>
      <c r="C88" s="267"/>
      <c r="D88" s="268"/>
      <c r="E88" s="269"/>
      <c r="F88" s="269"/>
      <c r="G88" s="269"/>
      <c r="H88" s="289"/>
      <c r="I88" s="43" t="s">
        <v>262</v>
      </c>
      <c r="J88" s="5" t="s">
        <v>65</v>
      </c>
      <c r="K88" s="3" t="s">
        <v>263</v>
      </c>
      <c r="L88" s="27" t="str">
        <f>VLOOKUP(K88,[1]CódigosRetorno!$A$2:$B$1996,2,FALSE)</f>
        <v>El Numero de RUC no cumple con el formato establecido</v>
      </c>
      <c r="M88" s="28" t="s">
        <v>67</v>
      </c>
      <c r="N88" s="28"/>
      <c r="O88" s="6"/>
    </row>
    <row r="89" spans="1:15" ht="24" x14ac:dyDescent="0.25">
      <c r="A89" s="6"/>
      <c r="B89" s="276"/>
      <c r="C89" s="267"/>
      <c r="D89" s="268"/>
      <c r="E89" s="269"/>
      <c r="F89" s="269"/>
      <c r="G89" s="269"/>
      <c r="H89" s="289"/>
      <c r="I89" s="43" t="s">
        <v>264</v>
      </c>
      <c r="J89" s="5" t="s">
        <v>65</v>
      </c>
      <c r="K89" s="3" t="s">
        <v>265</v>
      </c>
      <c r="L89" s="27" t="str">
        <f>VLOOKUP(K89,[1]CódigosRetorno!$A$2:$B$1996,2,FALSE)</f>
        <v>El Numero de RUC del emisor del documento relacionado no existe</v>
      </c>
      <c r="M89" s="28" t="s">
        <v>85</v>
      </c>
      <c r="N89" s="28" t="s">
        <v>150</v>
      </c>
      <c r="O89" s="6"/>
    </row>
    <row r="90" spans="1:15" ht="66" customHeight="1" x14ac:dyDescent="0.25">
      <c r="A90" s="6"/>
      <c r="B90" s="276"/>
      <c r="C90" s="267"/>
      <c r="D90" s="268"/>
      <c r="E90" s="269"/>
      <c r="F90" s="188" t="s">
        <v>17</v>
      </c>
      <c r="G90" s="197" t="s">
        <v>266</v>
      </c>
      <c r="H90" s="189" t="s">
        <v>267</v>
      </c>
      <c r="I90" s="33" t="s">
        <v>268</v>
      </c>
      <c r="J90" s="30" t="s">
        <v>65</v>
      </c>
      <c r="K90" s="35" t="s">
        <v>269</v>
      </c>
      <c r="L90" s="27" t="str">
        <f>VLOOKUP(K90,[1]CódigosRetorno!$A$2:$B$1996,2,FALSE)</f>
        <v>El Tipo de documento del emisor del documento relacionado debe ser Numero de RUC</v>
      </c>
      <c r="M90" s="28" t="s">
        <v>67</v>
      </c>
      <c r="N90" s="28"/>
      <c r="O90" s="6"/>
    </row>
    <row r="91" spans="1:15" ht="24" x14ac:dyDescent="0.25">
      <c r="A91" s="6"/>
      <c r="B91" s="276"/>
      <c r="C91" s="267"/>
      <c r="D91" s="268"/>
      <c r="E91" s="269"/>
      <c r="F91" s="268"/>
      <c r="G91" s="190" t="s">
        <v>133</v>
      </c>
      <c r="H91" s="193" t="s">
        <v>134</v>
      </c>
      <c r="I91" s="33" t="s">
        <v>135</v>
      </c>
      <c r="J91" s="34" t="s">
        <v>111</v>
      </c>
      <c r="K91" s="30" t="s">
        <v>136</v>
      </c>
      <c r="L91" s="27" t="str">
        <f>VLOOKUP(K91,[1]CódigosRetorno!$A$2:$B$1996,2,FALSE)</f>
        <v>El dato ingresado como atributo @schemeName es incorrecto.</v>
      </c>
      <c r="M91" s="28" t="s">
        <v>67</v>
      </c>
      <c r="N91" s="28"/>
      <c r="O91" s="6"/>
    </row>
    <row r="92" spans="1:15" ht="24" x14ac:dyDescent="0.25">
      <c r="A92" s="6"/>
      <c r="B92" s="276"/>
      <c r="C92" s="267"/>
      <c r="D92" s="268"/>
      <c r="E92" s="269"/>
      <c r="F92" s="268"/>
      <c r="G92" s="190" t="s">
        <v>108</v>
      </c>
      <c r="H92" s="193" t="s">
        <v>137</v>
      </c>
      <c r="I92" s="33" t="s">
        <v>110</v>
      </c>
      <c r="J92" s="34" t="s">
        <v>111</v>
      </c>
      <c r="K92" s="30" t="s">
        <v>138</v>
      </c>
      <c r="L92" s="27" t="str">
        <f>VLOOKUP(K92,[1]CódigosRetorno!$A$2:$B$1996,2,FALSE)</f>
        <v>El dato ingresado como atributo @schemeAgencyName es incorrecto.</v>
      </c>
      <c r="M92" s="28" t="s">
        <v>67</v>
      </c>
      <c r="N92" s="28"/>
      <c r="O92" s="6"/>
    </row>
    <row r="93" spans="1:15" ht="36" x14ac:dyDescent="0.25">
      <c r="A93" s="6"/>
      <c r="B93" s="276"/>
      <c r="C93" s="267"/>
      <c r="D93" s="268"/>
      <c r="E93" s="269"/>
      <c r="F93" s="268"/>
      <c r="G93" s="190" t="s">
        <v>139</v>
      </c>
      <c r="H93" s="193" t="s">
        <v>140</v>
      </c>
      <c r="I93" s="33" t="s">
        <v>141</v>
      </c>
      <c r="J93" s="30" t="s">
        <v>111</v>
      </c>
      <c r="K93" s="35" t="s">
        <v>142</v>
      </c>
      <c r="L93" s="27" t="str">
        <f>VLOOKUP(K93,[1]CódigosRetorno!$A$2:$B$1996,2,FALSE)</f>
        <v>El dato ingresado como atributo @schemeURI es incorrecto.</v>
      </c>
      <c r="M93" s="28" t="s">
        <v>67</v>
      </c>
      <c r="N93" s="28"/>
      <c r="O93" s="6"/>
    </row>
    <row r="94" spans="1:15" x14ac:dyDescent="0.25">
      <c r="A94" s="6"/>
      <c r="B94" s="38" t="s">
        <v>271</v>
      </c>
      <c r="C94" s="39"/>
      <c r="D94" s="23"/>
      <c r="E94" s="23"/>
      <c r="F94" s="23"/>
      <c r="G94" s="24"/>
      <c r="H94" s="25"/>
      <c r="I94" s="23"/>
      <c r="J94" s="23"/>
      <c r="K94" s="23"/>
      <c r="L94" s="23"/>
      <c r="M94" s="24"/>
      <c r="N94" s="26"/>
      <c r="O94" s="6"/>
    </row>
    <row r="95" spans="1:15" ht="24" x14ac:dyDescent="0.25">
      <c r="A95" s="6"/>
      <c r="B95" s="277">
        <f>B83+1</f>
        <v>15</v>
      </c>
      <c r="C95" s="273" t="s">
        <v>272</v>
      </c>
      <c r="D95" s="280" t="s">
        <v>61</v>
      </c>
      <c r="E95" s="271" t="s">
        <v>5</v>
      </c>
      <c r="F95" s="272" t="s">
        <v>17</v>
      </c>
      <c r="G95" s="272" t="s">
        <v>273</v>
      </c>
      <c r="H95" s="274" t="s">
        <v>274</v>
      </c>
      <c r="I95" s="45" t="s">
        <v>275</v>
      </c>
      <c r="J95" s="46" t="s">
        <v>65</v>
      </c>
      <c r="K95" s="47" t="s">
        <v>276</v>
      </c>
      <c r="L95" s="27" t="str">
        <f>VLOOKUP(K95,[1]CódigosRetorno!$A$2:$B$1996,2,FALSE)</f>
        <v>El XML no contiene el atributo o no existe información del tipo de documento del destinatario.</v>
      </c>
      <c r="M95" s="46" t="s">
        <v>67</v>
      </c>
      <c r="N95" s="46" t="s">
        <v>58</v>
      </c>
      <c r="O95" s="6"/>
    </row>
    <row r="96" spans="1:15" ht="24" x14ac:dyDescent="0.25">
      <c r="A96" s="6"/>
      <c r="B96" s="278"/>
      <c r="C96" s="279"/>
      <c r="D96" s="281"/>
      <c r="E96" s="285"/>
      <c r="F96" s="272"/>
      <c r="G96" s="272"/>
      <c r="H96" s="274"/>
      <c r="I96" s="33" t="s">
        <v>277</v>
      </c>
      <c r="J96" s="5" t="s">
        <v>65</v>
      </c>
      <c r="K96" s="3" t="s">
        <v>278</v>
      </c>
      <c r="L96" s="27" t="str">
        <f>VLOOKUP(K96,[1]CódigosRetorno!$A$2:$B$1996,2,FALSE)</f>
        <v>El valor ingresado como tipo de documento del destinatario es incorrecto.</v>
      </c>
      <c r="M96" s="5" t="s">
        <v>67</v>
      </c>
      <c r="N96" s="5" t="s">
        <v>279</v>
      </c>
      <c r="O96" s="6"/>
    </row>
    <row r="97" spans="1:15" ht="24" x14ac:dyDescent="0.25">
      <c r="A97" s="6"/>
      <c r="B97" s="278"/>
      <c r="C97" s="279"/>
      <c r="D97" s="281"/>
      <c r="E97" s="285"/>
      <c r="F97" s="269"/>
      <c r="G97" s="269"/>
      <c r="H97" s="265"/>
      <c r="I97" s="27" t="s">
        <v>280</v>
      </c>
      <c r="J97" s="5" t="s">
        <v>65</v>
      </c>
      <c r="K97" s="3" t="s">
        <v>281</v>
      </c>
      <c r="L97" s="27" t="str">
        <f>VLOOKUP(K97,[1]CódigosRetorno!$A$2:$B$1996,2,FALSE)</f>
        <v>Para el motivo de traslado 06 y 17 el tipo de documento de identidad del destinatario debe ser 6-RUC</v>
      </c>
      <c r="M97" s="5" t="s">
        <v>67</v>
      </c>
      <c r="N97" s="5"/>
      <c r="O97" s="6"/>
    </row>
    <row r="98" spans="1:15" ht="24" x14ac:dyDescent="0.25">
      <c r="A98" s="6"/>
      <c r="B98" s="278"/>
      <c r="C98" s="279"/>
      <c r="D98" s="281"/>
      <c r="E98" s="285"/>
      <c r="F98" s="269"/>
      <c r="G98" s="190" t="s">
        <v>133</v>
      </c>
      <c r="H98" s="193" t="s">
        <v>134</v>
      </c>
      <c r="I98" s="33" t="s">
        <v>135</v>
      </c>
      <c r="J98" s="5" t="s">
        <v>111</v>
      </c>
      <c r="K98" s="3" t="s">
        <v>136</v>
      </c>
      <c r="L98" s="27" t="str">
        <f>VLOOKUP(K98,[1]CódigosRetorno!$A$2:$B$1996,2,FALSE)</f>
        <v>El dato ingresado como atributo @schemeName es incorrecto.</v>
      </c>
      <c r="M98" s="5" t="s">
        <v>67</v>
      </c>
      <c r="N98" s="5"/>
      <c r="O98" s="6"/>
    </row>
    <row r="99" spans="1:15" ht="24" x14ac:dyDescent="0.25">
      <c r="A99" s="6"/>
      <c r="B99" s="278"/>
      <c r="C99" s="279"/>
      <c r="D99" s="281"/>
      <c r="E99" s="285"/>
      <c r="F99" s="269"/>
      <c r="G99" s="190" t="s">
        <v>108</v>
      </c>
      <c r="H99" s="193" t="s">
        <v>137</v>
      </c>
      <c r="I99" s="33" t="s">
        <v>110</v>
      </c>
      <c r="J99" s="5" t="s">
        <v>111</v>
      </c>
      <c r="K99" s="3" t="s">
        <v>138</v>
      </c>
      <c r="L99" s="27" t="str">
        <f>VLOOKUP(K99,[1]CódigosRetorno!$A$2:$B$1996,2,FALSE)</f>
        <v>El dato ingresado como atributo @schemeAgencyName es incorrecto.</v>
      </c>
      <c r="M99" s="5" t="s">
        <v>67</v>
      </c>
      <c r="N99" s="5"/>
      <c r="O99" s="6"/>
    </row>
    <row r="100" spans="1:15" ht="36" x14ac:dyDescent="0.25">
      <c r="A100" s="6"/>
      <c r="B100" s="278"/>
      <c r="C100" s="279"/>
      <c r="D100" s="281"/>
      <c r="E100" s="285"/>
      <c r="F100" s="271"/>
      <c r="G100" s="196" t="s">
        <v>139</v>
      </c>
      <c r="H100" s="195" t="s">
        <v>140</v>
      </c>
      <c r="I100" s="48" t="s">
        <v>141</v>
      </c>
      <c r="J100" s="49" t="s">
        <v>111</v>
      </c>
      <c r="K100" s="50" t="s">
        <v>142</v>
      </c>
      <c r="L100" s="27" t="str">
        <f>VLOOKUP(K100,[1]CódigosRetorno!$A$2:$B$1996,2,FALSE)</f>
        <v>El dato ingresado como atributo @schemeURI es incorrecto.</v>
      </c>
      <c r="M100" s="49" t="s">
        <v>67</v>
      </c>
      <c r="N100" s="49"/>
      <c r="O100" s="6"/>
    </row>
    <row r="101" spans="1:15" ht="24" x14ac:dyDescent="0.25">
      <c r="A101" s="6"/>
      <c r="B101" s="278"/>
      <c r="C101" s="279"/>
      <c r="D101" s="281"/>
      <c r="E101" s="285"/>
      <c r="F101" s="269" t="s">
        <v>18</v>
      </c>
      <c r="G101" s="287"/>
      <c r="H101" s="265" t="s">
        <v>282</v>
      </c>
      <c r="I101" s="27" t="s">
        <v>283</v>
      </c>
      <c r="J101" s="5" t="s">
        <v>65</v>
      </c>
      <c r="K101" s="3" t="s">
        <v>284</v>
      </c>
      <c r="L101" s="27" t="str">
        <f>VLOOKUP(K101,[1]CódigosRetorno!$A$2:$B$1996,2,FALSE)</f>
        <v>El XML no contiene el tag o no existe información del número de documento de identidad del destinatario.</v>
      </c>
      <c r="M101" s="5" t="s">
        <v>67</v>
      </c>
      <c r="N101" s="5"/>
      <c r="O101" s="6"/>
    </row>
    <row r="102" spans="1:15" ht="48" x14ac:dyDescent="0.25">
      <c r="A102" s="6"/>
      <c r="B102" s="278"/>
      <c r="C102" s="279"/>
      <c r="D102" s="281"/>
      <c r="E102" s="285"/>
      <c r="F102" s="269"/>
      <c r="G102" s="288"/>
      <c r="H102" s="265"/>
      <c r="I102" s="27" t="s">
        <v>285</v>
      </c>
      <c r="J102" s="5" t="s">
        <v>65</v>
      </c>
      <c r="K102" s="41" t="s">
        <v>286</v>
      </c>
      <c r="L102" s="27" t="str">
        <f>VLOOKUP(K102,[1]CódigosRetorno!$A$2:$B$1996,2,FALSE)</f>
        <v>Destinatario no debe ser igual al remitente.</v>
      </c>
      <c r="M102" s="5" t="s">
        <v>67</v>
      </c>
      <c r="N102" s="5"/>
      <c r="O102" s="6"/>
    </row>
    <row r="103" spans="1:15" ht="48" x14ac:dyDescent="0.25">
      <c r="A103" s="6"/>
      <c r="B103" s="278"/>
      <c r="C103" s="279"/>
      <c r="D103" s="281"/>
      <c r="E103" s="285"/>
      <c r="F103" s="269"/>
      <c r="G103" s="288"/>
      <c r="H103" s="265"/>
      <c r="I103" s="27" t="s">
        <v>287</v>
      </c>
      <c r="J103" s="5" t="s">
        <v>65</v>
      </c>
      <c r="K103" s="41" t="s">
        <v>288</v>
      </c>
      <c r="L103" s="27" t="str">
        <f>VLOOKUP(K103,[1]CódigosRetorno!$A$2:$B$1996,2,FALSE)</f>
        <v>Para el motivo de traslado ingresado el Destinatario debe ser igual al remitente.</v>
      </c>
      <c r="M103" s="5" t="s">
        <v>67</v>
      </c>
      <c r="N103" s="5"/>
      <c r="O103" s="6"/>
    </row>
    <row r="104" spans="1:15" ht="48" x14ac:dyDescent="0.25">
      <c r="A104" s="6"/>
      <c r="B104" s="278"/>
      <c r="C104" s="279"/>
      <c r="D104" s="281"/>
      <c r="E104" s="285"/>
      <c r="F104" s="269"/>
      <c r="G104" s="288"/>
      <c r="H104" s="265"/>
      <c r="I104" s="27" t="s">
        <v>289</v>
      </c>
      <c r="J104" s="5" t="s">
        <v>111</v>
      </c>
      <c r="K104" s="41" t="s">
        <v>290</v>
      </c>
      <c r="L104" s="27" t="str">
        <f>VLOOKUP(K104,[1]CódigosRetorno!$A$2:$B$1996,2,FALSE)</f>
        <v>El tipo y numero de documento de identidad del destinatario es diferente al del importador que figura en la(s) DAM / DS</v>
      </c>
      <c r="M104" s="5" t="s">
        <v>85</v>
      </c>
      <c r="N104" s="5" t="s">
        <v>238</v>
      </c>
      <c r="O104" s="6"/>
    </row>
    <row r="105" spans="1:15" ht="36" x14ac:dyDescent="0.25">
      <c r="A105" s="6"/>
      <c r="B105" s="278"/>
      <c r="C105" s="279"/>
      <c r="D105" s="281"/>
      <c r="E105" s="285"/>
      <c r="F105" s="269"/>
      <c r="G105" s="288"/>
      <c r="H105" s="265"/>
      <c r="I105" s="27" t="s">
        <v>291</v>
      </c>
      <c r="J105" s="5" t="s">
        <v>65</v>
      </c>
      <c r="K105" s="36" t="s">
        <v>292</v>
      </c>
      <c r="L105" s="27" t="str">
        <f>VLOOKUP(K105,[1]CódigosRetorno!$A$2:$B$1996,2,FALSE)</f>
        <v>El valor ingresado como numero de documento de identidad del destinatario no cumple con el estandar.</v>
      </c>
      <c r="M105" s="5" t="s">
        <v>67</v>
      </c>
      <c r="N105" s="5"/>
      <c r="O105" s="6"/>
    </row>
    <row r="106" spans="1:15" ht="24" x14ac:dyDescent="0.25">
      <c r="A106" s="6"/>
      <c r="B106" s="278"/>
      <c r="C106" s="279"/>
      <c r="D106" s="281"/>
      <c r="E106" s="285"/>
      <c r="F106" s="269"/>
      <c r="G106" s="288"/>
      <c r="H106" s="265"/>
      <c r="I106" s="27" t="s">
        <v>293</v>
      </c>
      <c r="J106" s="5" t="s">
        <v>65</v>
      </c>
      <c r="K106" s="3" t="s">
        <v>294</v>
      </c>
      <c r="L106" s="27" t="str">
        <f>VLOOKUP(K106,[1]CódigosRetorno!$A$2:$B$1996,2,FALSE)</f>
        <v>El Numero de RUC del Destinatario no existe</v>
      </c>
      <c r="M106" s="5" t="s">
        <v>85</v>
      </c>
      <c r="N106" s="5" t="s">
        <v>150</v>
      </c>
      <c r="O106" s="6"/>
    </row>
    <row r="107" spans="1:15" ht="36" x14ac:dyDescent="0.25">
      <c r="A107" s="6"/>
      <c r="B107" s="278"/>
      <c r="C107" s="279"/>
      <c r="D107" s="281"/>
      <c r="E107" s="285"/>
      <c r="F107" s="269"/>
      <c r="G107" s="288"/>
      <c r="H107" s="265"/>
      <c r="I107" s="27" t="s">
        <v>295</v>
      </c>
      <c r="J107" s="5" t="s">
        <v>111</v>
      </c>
      <c r="K107" s="51" t="s">
        <v>296</v>
      </c>
      <c r="L107" s="27" t="str">
        <f>VLOOKUP(K107,[1]CódigosRetorno!$A$2:$B$1996,2,FALSE)</f>
        <v>El RUC del Destinatario no esta activo</v>
      </c>
      <c r="M107" s="5" t="s">
        <v>85</v>
      </c>
      <c r="N107" s="5" t="s">
        <v>150</v>
      </c>
      <c r="O107" s="6"/>
    </row>
    <row r="108" spans="1:15" ht="36" x14ac:dyDescent="0.25">
      <c r="A108" s="6"/>
      <c r="B108" s="278"/>
      <c r="C108" s="279"/>
      <c r="D108" s="281"/>
      <c r="E108" s="285"/>
      <c r="F108" s="269"/>
      <c r="G108" s="288"/>
      <c r="H108" s="265"/>
      <c r="I108" s="27" t="s">
        <v>297</v>
      </c>
      <c r="J108" s="5" t="s">
        <v>111</v>
      </c>
      <c r="K108" s="51" t="s">
        <v>298</v>
      </c>
      <c r="L108" s="27" t="str">
        <f>VLOOKUP(K108,[1]CódigosRetorno!$A$2:$B$1996,2,FALSE)</f>
        <v>El RUC del destinatario no esta habido</v>
      </c>
      <c r="M108" s="5" t="s">
        <v>85</v>
      </c>
      <c r="N108" s="5" t="s">
        <v>150</v>
      </c>
      <c r="O108" s="6"/>
    </row>
    <row r="109" spans="1:15" ht="24" x14ac:dyDescent="0.25">
      <c r="A109" s="6"/>
      <c r="B109" s="278"/>
      <c r="C109" s="279"/>
      <c r="D109" s="281"/>
      <c r="E109" s="285"/>
      <c r="F109" s="269"/>
      <c r="G109" s="288"/>
      <c r="H109" s="265"/>
      <c r="I109" s="27" t="s">
        <v>299</v>
      </c>
      <c r="J109" s="5" t="s">
        <v>65</v>
      </c>
      <c r="K109" s="36" t="s">
        <v>292</v>
      </c>
      <c r="L109" s="27" t="str">
        <f>VLOOKUP(K109,[1]CódigosRetorno!$A$2:$B$1996,2,FALSE)</f>
        <v>El valor ingresado como numero de documento de identidad del destinatario no cumple con el estandar.</v>
      </c>
      <c r="M109" s="5" t="s">
        <v>67</v>
      </c>
      <c r="N109" s="5"/>
      <c r="O109" s="6"/>
    </row>
    <row r="110" spans="1:15" ht="24" x14ac:dyDescent="0.25">
      <c r="A110" s="6"/>
      <c r="B110" s="278"/>
      <c r="C110" s="279"/>
      <c r="D110" s="281"/>
      <c r="E110" s="285"/>
      <c r="F110" s="269"/>
      <c r="G110" s="288"/>
      <c r="H110" s="265"/>
      <c r="I110" s="27" t="s">
        <v>300</v>
      </c>
      <c r="J110" s="5" t="s">
        <v>65</v>
      </c>
      <c r="K110" s="3" t="s">
        <v>301</v>
      </c>
      <c r="L110" s="27" t="str">
        <f>VLOOKUP(K110,[1]CódigosRetorno!$A$2:$B$1996,2,FALSE)</f>
        <v>El Numero de DNI del Destinatario no existe</v>
      </c>
      <c r="M110" s="5" t="s">
        <v>85</v>
      </c>
      <c r="N110" s="5" t="s">
        <v>302</v>
      </c>
      <c r="O110" s="6"/>
    </row>
    <row r="111" spans="1:15" ht="60" x14ac:dyDescent="0.25">
      <c r="A111" s="6"/>
      <c r="B111" s="290"/>
      <c r="C111" s="274"/>
      <c r="D111" s="284"/>
      <c r="E111" s="272"/>
      <c r="F111" s="269"/>
      <c r="G111" s="291"/>
      <c r="H111" s="265"/>
      <c r="I111" s="27" t="s">
        <v>303</v>
      </c>
      <c r="J111" s="5" t="s">
        <v>65</v>
      </c>
      <c r="K111" s="36" t="s">
        <v>292</v>
      </c>
      <c r="L111" s="27" t="str">
        <f>VLOOKUP(K111,[1]CódigosRetorno!$A$2:$B$1996,2,FALSE)</f>
        <v>El valor ingresado como numero de documento de identidad del destinatario no cumple con el estandar.</v>
      </c>
      <c r="M111" s="5" t="s">
        <v>67</v>
      </c>
      <c r="N111" s="5"/>
      <c r="O111" s="6"/>
    </row>
    <row r="112" spans="1:15" ht="24" x14ac:dyDescent="0.25">
      <c r="A112" s="6"/>
      <c r="B112" s="276">
        <f>B95+1</f>
        <v>16</v>
      </c>
      <c r="C112" s="267" t="s">
        <v>304</v>
      </c>
      <c r="D112" s="292" t="s">
        <v>61</v>
      </c>
      <c r="E112" s="269" t="s">
        <v>5</v>
      </c>
      <c r="F112" s="269" t="s">
        <v>36</v>
      </c>
      <c r="G112" s="268"/>
      <c r="H112" s="265" t="s">
        <v>305</v>
      </c>
      <c r="I112" s="27" t="s">
        <v>283</v>
      </c>
      <c r="J112" s="5" t="s">
        <v>65</v>
      </c>
      <c r="K112" s="3" t="s">
        <v>306</v>
      </c>
      <c r="L112" s="27" t="str">
        <f>VLOOKUP(K112,[1]CódigosRetorno!$A$2:$B$1996,2,FALSE)</f>
        <v>El XML no contiene el atributo o no existe información del nombre o razon social del destinatario.</v>
      </c>
      <c r="M112" s="28" t="s">
        <v>67</v>
      </c>
      <c r="N112" s="28"/>
      <c r="O112" s="6"/>
    </row>
    <row r="113" spans="1:15" ht="60" x14ac:dyDescent="0.25">
      <c r="A113" s="6"/>
      <c r="B113" s="276"/>
      <c r="C113" s="267"/>
      <c r="D113" s="292"/>
      <c r="E113" s="269"/>
      <c r="F113" s="269"/>
      <c r="G113" s="268"/>
      <c r="H113" s="265"/>
      <c r="I113" s="27" t="s">
        <v>307</v>
      </c>
      <c r="J113" s="5" t="s">
        <v>111</v>
      </c>
      <c r="K113" s="3" t="s">
        <v>308</v>
      </c>
      <c r="L113" s="27" t="str">
        <f>VLOOKUP(K113,[1]CódigosRetorno!$A$2:$B$1996,2,FALSE)</f>
        <v>Nombre o razon social del destinatario no cumple con un formato válido</v>
      </c>
      <c r="M113" s="28" t="s">
        <v>67</v>
      </c>
      <c r="N113" s="28"/>
      <c r="O113" s="6"/>
    </row>
    <row r="114" spans="1:15" x14ac:dyDescent="0.25">
      <c r="A114" s="6"/>
      <c r="B114" s="38" t="s">
        <v>309</v>
      </c>
      <c r="C114" s="52"/>
      <c r="D114" s="52"/>
      <c r="E114" s="52"/>
      <c r="F114" s="52"/>
      <c r="G114" s="53"/>
      <c r="H114" s="54"/>
      <c r="I114" s="52"/>
      <c r="J114" s="52"/>
      <c r="K114" s="52"/>
      <c r="L114" s="52"/>
      <c r="M114" s="53"/>
      <c r="N114" s="55"/>
      <c r="O114" s="6"/>
    </row>
    <row r="115" spans="1:15" ht="36" x14ac:dyDescent="0.25">
      <c r="A115" s="6"/>
      <c r="B115" s="277">
        <f>B112+1</f>
        <v>17</v>
      </c>
      <c r="C115" s="273" t="s">
        <v>310</v>
      </c>
      <c r="D115" s="280" t="s">
        <v>61</v>
      </c>
      <c r="E115" s="271" t="s">
        <v>15</v>
      </c>
      <c r="F115" s="272" t="s">
        <v>17</v>
      </c>
      <c r="G115" s="272" t="s">
        <v>273</v>
      </c>
      <c r="H115" s="274" t="s">
        <v>311</v>
      </c>
      <c r="I115" s="56" t="s">
        <v>312</v>
      </c>
      <c r="J115" s="46" t="s">
        <v>65</v>
      </c>
      <c r="K115" s="47" t="s">
        <v>313</v>
      </c>
      <c r="L115" s="27" t="str">
        <f>VLOOKUP(K115,[1]CódigosRetorno!$A$2:$B$1996,2,FALSE)</f>
        <v>El XML no contiene el tag o no existe informacion del tipo de documento identidad del proveedor.</v>
      </c>
      <c r="M115" s="57" t="s">
        <v>67</v>
      </c>
      <c r="N115" s="56"/>
      <c r="O115" s="6"/>
    </row>
    <row r="116" spans="1:15" ht="36" x14ac:dyDescent="0.25">
      <c r="A116" s="6"/>
      <c r="B116" s="278"/>
      <c r="C116" s="279"/>
      <c r="D116" s="281"/>
      <c r="E116" s="285"/>
      <c r="F116" s="269"/>
      <c r="G116" s="269"/>
      <c r="H116" s="265"/>
      <c r="I116" s="27" t="s">
        <v>314</v>
      </c>
      <c r="J116" s="5" t="s">
        <v>65</v>
      </c>
      <c r="K116" s="3" t="s">
        <v>315</v>
      </c>
      <c r="L116" s="27" t="str">
        <f>VLOOKUP(K116,[1]CódigosRetorno!$A$2:$B$1996,2,FALSE)</f>
        <v>El tipo de documento de identidad del Proveedor es invalido</v>
      </c>
      <c r="M116" s="28" t="s">
        <v>67</v>
      </c>
      <c r="N116" s="27"/>
      <c r="O116" s="6"/>
    </row>
    <row r="117" spans="1:15" ht="36" x14ac:dyDescent="0.25">
      <c r="A117" s="6"/>
      <c r="B117" s="278"/>
      <c r="C117" s="279"/>
      <c r="D117" s="281"/>
      <c r="E117" s="285"/>
      <c r="F117" s="269"/>
      <c r="G117" s="269"/>
      <c r="H117" s="265"/>
      <c r="I117" s="27" t="s">
        <v>316</v>
      </c>
      <c r="J117" s="5" t="s">
        <v>65</v>
      </c>
      <c r="K117" s="3" t="s">
        <v>315</v>
      </c>
      <c r="L117" s="27" t="str">
        <f>VLOOKUP(K117,[1]CódigosRetorno!$A$2:$B$1996,2,FALSE)</f>
        <v>El tipo de documento de identidad del Proveedor es invalido</v>
      </c>
      <c r="M117" s="28" t="s">
        <v>67</v>
      </c>
      <c r="N117" s="27"/>
      <c r="O117" s="6"/>
    </row>
    <row r="118" spans="1:15" ht="24" x14ac:dyDescent="0.25">
      <c r="A118" s="6"/>
      <c r="B118" s="278"/>
      <c r="C118" s="279"/>
      <c r="D118" s="281"/>
      <c r="E118" s="285"/>
      <c r="F118" s="269"/>
      <c r="G118" s="269"/>
      <c r="H118" s="265"/>
      <c r="I118" s="27" t="s">
        <v>317</v>
      </c>
      <c r="J118" s="5" t="s">
        <v>65</v>
      </c>
      <c r="K118" s="3" t="s">
        <v>315</v>
      </c>
      <c r="L118" s="27" t="str">
        <f>VLOOKUP(K118,[1]CódigosRetorno!$A$2:$B$1996,2,FALSE)</f>
        <v>El tipo de documento de identidad del Proveedor es invalido</v>
      </c>
      <c r="M118" s="28" t="s">
        <v>67</v>
      </c>
      <c r="N118" s="5" t="s">
        <v>279</v>
      </c>
      <c r="O118" s="6"/>
    </row>
    <row r="119" spans="1:15" ht="24" x14ac:dyDescent="0.25">
      <c r="A119" s="6"/>
      <c r="B119" s="278"/>
      <c r="C119" s="279"/>
      <c r="D119" s="281"/>
      <c r="E119" s="285"/>
      <c r="F119" s="269"/>
      <c r="G119" s="269"/>
      <c r="H119" s="265"/>
      <c r="I119" s="27" t="s">
        <v>318</v>
      </c>
      <c r="J119" s="5" t="s">
        <v>111</v>
      </c>
      <c r="K119" s="3" t="s">
        <v>319</v>
      </c>
      <c r="L119" s="27" t="str">
        <f>VLOOKUP(K119,[1]CódigosRetorno!$A$2:$B$1996,2,FALSE)</f>
        <v>La guía no debe contener datos del proveedor.</v>
      </c>
      <c r="M119" s="28" t="s">
        <v>67</v>
      </c>
      <c r="N119" s="27"/>
      <c r="O119" s="6"/>
    </row>
    <row r="120" spans="1:15" ht="24" x14ac:dyDescent="0.25">
      <c r="A120" s="6"/>
      <c r="B120" s="278"/>
      <c r="C120" s="279"/>
      <c r="D120" s="281"/>
      <c r="E120" s="285"/>
      <c r="F120" s="269"/>
      <c r="G120" s="190" t="s">
        <v>133</v>
      </c>
      <c r="H120" s="193" t="s">
        <v>134</v>
      </c>
      <c r="I120" s="33" t="s">
        <v>135</v>
      </c>
      <c r="J120" s="5" t="s">
        <v>111</v>
      </c>
      <c r="K120" s="3" t="s">
        <v>136</v>
      </c>
      <c r="L120" s="27" t="str">
        <f>VLOOKUP(K120,[1]CódigosRetorno!$A$2:$B$1996,2,FALSE)</f>
        <v>El dato ingresado como atributo @schemeName es incorrecto.</v>
      </c>
      <c r="M120" s="28" t="s">
        <v>67</v>
      </c>
      <c r="N120" s="27"/>
      <c r="O120" s="6"/>
    </row>
    <row r="121" spans="1:15" ht="24" x14ac:dyDescent="0.25">
      <c r="A121" s="6"/>
      <c r="B121" s="278"/>
      <c r="C121" s="279"/>
      <c r="D121" s="281"/>
      <c r="E121" s="285"/>
      <c r="F121" s="269"/>
      <c r="G121" s="190" t="s">
        <v>108</v>
      </c>
      <c r="H121" s="193" t="s">
        <v>137</v>
      </c>
      <c r="I121" s="33" t="s">
        <v>110</v>
      </c>
      <c r="J121" s="5" t="s">
        <v>111</v>
      </c>
      <c r="K121" s="3" t="s">
        <v>138</v>
      </c>
      <c r="L121" s="27" t="str">
        <f>VLOOKUP(K121,[1]CódigosRetorno!$A$2:$B$1996,2,FALSE)</f>
        <v>El dato ingresado como atributo @schemeAgencyName es incorrecto.</v>
      </c>
      <c r="M121" s="28" t="s">
        <v>67</v>
      </c>
      <c r="N121" s="27"/>
      <c r="O121" s="6"/>
    </row>
    <row r="122" spans="1:15" ht="36" x14ac:dyDescent="0.25">
      <c r="A122" s="6"/>
      <c r="B122" s="278"/>
      <c r="C122" s="279"/>
      <c r="D122" s="281"/>
      <c r="E122" s="285"/>
      <c r="F122" s="269"/>
      <c r="G122" s="190" t="s">
        <v>139</v>
      </c>
      <c r="H122" s="193" t="s">
        <v>140</v>
      </c>
      <c r="I122" s="33" t="s">
        <v>141</v>
      </c>
      <c r="J122" s="5" t="s">
        <v>111</v>
      </c>
      <c r="K122" s="3" t="s">
        <v>142</v>
      </c>
      <c r="L122" s="27" t="str">
        <f>VLOOKUP(K122,[1]CódigosRetorno!$A$2:$B$1996,2,FALSE)</f>
        <v>El dato ingresado como atributo @schemeURI es incorrecto.</v>
      </c>
      <c r="M122" s="28" t="s">
        <v>67</v>
      </c>
      <c r="N122" s="27"/>
      <c r="O122" s="6"/>
    </row>
    <row r="123" spans="1:15" ht="60" x14ac:dyDescent="0.25">
      <c r="A123" s="6"/>
      <c r="B123" s="278"/>
      <c r="C123" s="279"/>
      <c r="D123" s="281"/>
      <c r="E123" s="285"/>
      <c r="F123" s="269" t="s">
        <v>320</v>
      </c>
      <c r="G123" s="268"/>
      <c r="H123" s="265" t="s">
        <v>321</v>
      </c>
      <c r="I123" s="27" t="s">
        <v>322</v>
      </c>
      <c r="J123" s="5" t="s">
        <v>111</v>
      </c>
      <c r="K123" s="3" t="s">
        <v>323</v>
      </c>
      <c r="L123" s="27" t="str">
        <f>VLOOKUP(K123,[1]CódigosRetorno!$A$2:$B$1996,2,FALSE)</f>
        <v>Corresponde ingresar informacion del Proveedor</v>
      </c>
      <c r="M123" s="5" t="s">
        <v>67</v>
      </c>
      <c r="N123" s="5"/>
      <c r="O123" s="6"/>
    </row>
    <row r="124" spans="1:15" ht="72" x14ac:dyDescent="0.25">
      <c r="A124" s="6"/>
      <c r="B124" s="278"/>
      <c r="C124" s="279"/>
      <c r="D124" s="281"/>
      <c r="E124" s="285"/>
      <c r="F124" s="269"/>
      <c r="G124" s="268"/>
      <c r="H124" s="265"/>
      <c r="I124" s="58" t="s">
        <v>324</v>
      </c>
      <c r="J124" s="28" t="s">
        <v>65</v>
      </c>
      <c r="K124" s="3" t="s">
        <v>325</v>
      </c>
      <c r="L124" s="27" t="str">
        <f>VLOOKUP(K124,[1]CódigosRetorno!$A$2:$B$1996,2,FALSE)</f>
        <v>El Numero de RUC del Proveedor debe coincidir con alguno de los Numero de RUC emisor de los documentos relacionados</v>
      </c>
      <c r="M124" s="5" t="s">
        <v>67</v>
      </c>
      <c r="N124" s="5"/>
      <c r="O124" s="6"/>
    </row>
    <row r="125" spans="1:15" ht="36" x14ac:dyDescent="0.25">
      <c r="A125" s="6"/>
      <c r="B125" s="278"/>
      <c r="C125" s="279"/>
      <c r="D125" s="281"/>
      <c r="E125" s="285"/>
      <c r="F125" s="269"/>
      <c r="G125" s="268"/>
      <c r="H125" s="265"/>
      <c r="I125" s="27" t="s">
        <v>326</v>
      </c>
      <c r="J125" s="5" t="s">
        <v>65</v>
      </c>
      <c r="K125" s="36" t="s">
        <v>327</v>
      </c>
      <c r="L125" s="27" t="str">
        <f>VLOOKUP(K125,[1]CódigosRetorno!$A$2:$B$1996,2,FALSE)</f>
        <v>El XML no contiene el tag o no existe información del número de documento de identidad del proveedor</v>
      </c>
      <c r="M125" s="5" t="s">
        <v>67</v>
      </c>
      <c r="N125" s="5"/>
      <c r="O125" s="6"/>
    </row>
    <row r="126" spans="1:15" ht="48" x14ac:dyDescent="0.25">
      <c r="A126" s="6"/>
      <c r="B126" s="278"/>
      <c r="C126" s="279"/>
      <c r="D126" s="281"/>
      <c r="E126" s="285"/>
      <c r="F126" s="269"/>
      <c r="G126" s="268"/>
      <c r="H126" s="265"/>
      <c r="I126" s="27" t="s">
        <v>328</v>
      </c>
      <c r="J126" s="5" t="s">
        <v>65</v>
      </c>
      <c r="K126" s="36" t="s">
        <v>327</v>
      </c>
      <c r="L126" s="27" t="str">
        <f>VLOOKUP(K126,[1]CódigosRetorno!$A$2:$B$1996,2,FALSE)</f>
        <v>El XML no contiene el tag o no existe información del número de documento de identidad del proveedor</v>
      </c>
      <c r="M126" s="5" t="s">
        <v>67</v>
      </c>
      <c r="N126" s="5"/>
      <c r="O126" s="6"/>
    </row>
    <row r="127" spans="1:15" ht="24" x14ac:dyDescent="0.25">
      <c r="A127" s="6"/>
      <c r="B127" s="278"/>
      <c r="C127" s="279"/>
      <c r="D127" s="281"/>
      <c r="E127" s="285"/>
      <c r="F127" s="269"/>
      <c r="G127" s="268"/>
      <c r="H127" s="265"/>
      <c r="I127" s="27" t="s">
        <v>329</v>
      </c>
      <c r="J127" s="5" t="s">
        <v>111</v>
      </c>
      <c r="K127" s="3" t="s">
        <v>319</v>
      </c>
      <c r="L127" s="27" t="str">
        <f>VLOOKUP(K127,[1]CódigosRetorno!$A$2:$B$1996,2,FALSE)</f>
        <v>La guía no debe contener datos del proveedor.</v>
      </c>
      <c r="M127" s="5" t="s">
        <v>67</v>
      </c>
      <c r="N127" s="5"/>
      <c r="O127" s="6"/>
    </row>
    <row r="128" spans="1:15" ht="48" x14ac:dyDescent="0.25">
      <c r="A128" s="6"/>
      <c r="B128" s="278"/>
      <c r="C128" s="279"/>
      <c r="D128" s="281"/>
      <c r="E128" s="285"/>
      <c r="F128" s="269"/>
      <c r="G128" s="268"/>
      <c r="H128" s="265"/>
      <c r="I128" s="27" t="s">
        <v>330</v>
      </c>
      <c r="J128" s="5" t="s">
        <v>65</v>
      </c>
      <c r="K128" s="3" t="s">
        <v>331</v>
      </c>
      <c r="L128" s="27" t="str">
        <f>VLOOKUP(K128,[1]CódigosRetorno!$A$2:$B$1996,2,FALSE)</f>
        <v>El tipo y numero de documento de identidad del Remitente no puede ser es el mismo que el Proveedor</v>
      </c>
      <c r="M128" s="5" t="s">
        <v>67</v>
      </c>
      <c r="N128" s="5"/>
      <c r="O128" s="6"/>
    </row>
    <row r="129" spans="1:15" ht="24" x14ac:dyDescent="0.25">
      <c r="A129" s="6"/>
      <c r="B129" s="278"/>
      <c r="C129" s="279"/>
      <c r="D129" s="281"/>
      <c r="E129" s="285"/>
      <c r="F129" s="269"/>
      <c r="G129" s="268"/>
      <c r="H129" s="265"/>
      <c r="I129" s="27" t="s">
        <v>332</v>
      </c>
      <c r="J129" s="5" t="s">
        <v>65</v>
      </c>
      <c r="K129" s="41" t="s">
        <v>333</v>
      </c>
      <c r="L129" s="27" t="str">
        <f>VLOOKUP(K129,[1]CódigosRetorno!$A$2:$B$1996,2,FALSE)</f>
        <v>El valor ingresado como documento de identidad del proveedor es incorrecto</v>
      </c>
      <c r="M129" s="5" t="s">
        <v>67</v>
      </c>
      <c r="N129" s="5"/>
      <c r="O129" s="6"/>
    </row>
    <row r="130" spans="1:15" ht="24" x14ac:dyDescent="0.25">
      <c r="A130" s="6"/>
      <c r="B130" s="278"/>
      <c r="C130" s="279"/>
      <c r="D130" s="281"/>
      <c r="E130" s="285"/>
      <c r="F130" s="269"/>
      <c r="G130" s="268"/>
      <c r="H130" s="265"/>
      <c r="I130" s="27" t="s">
        <v>334</v>
      </c>
      <c r="J130" s="5" t="s">
        <v>65</v>
      </c>
      <c r="K130" s="41" t="s">
        <v>335</v>
      </c>
      <c r="L130" s="27" t="str">
        <f>VLOOKUP(K130,[1]CódigosRetorno!$A$2:$B$1996,2,FALSE)</f>
        <v>Número de RUC del Proveedor no existe.</v>
      </c>
      <c r="M130" s="5" t="s">
        <v>85</v>
      </c>
      <c r="N130" s="5" t="s">
        <v>150</v>
      </c>
      <c r="O130" s="6"/>
    </row>
    <row r="131" spans="1:15" ht="36" x14ac:dyDescent="0.25">
      <c r="A131" s="6"/>
      <c r="B131" s="278"/>
      <c r="C131" s="279"/>
      <c r="D131" s="281"/>
      <c r="E131" s="285"/>
      <c r="F131" s="269"/>
      <c r="G131" s="268"/>
      <c r="H131" s="265"/>
      <c r="I131" s="27" t="s">
        <v>336</v>
      </c>
      <c r="J131" s="5" t="s">
        <v>111</v>
      </c>
      <c r="K131" s="36" t="s">
        <v>337</v>
      </c>
      <c r="L131" s="27" t="str">
        <f>VLOOKUP(K131,[1]CódigosRetorno!$A$2:$B$1996,2,FALSE)</f>
        <v>El RUC del proveedor no esta activo.</v>
      </c>
      <c r="M131" s="5" t="s">
        <v>85</v>
      </c>
      <c r="N131" s="5" t="s">
        <v>150</v>
      </c>
      <c r="O131" s="6"/>
    </row>
    <row r="132" spans="1:15" ht="36" x14ac:dyDescent="0.25">
      <c r="A132" s="6"/>
      <c r="B132" s="278"/>
      <c r="C132" s="279"/>
      <c r="D132" s="281"/>
      <c r="E132" s="285"/>
      <c r="F132" s="269"/>
      <c r="G132" s="268"/>
      <c r="H132" s="265"/>
      <c r="I132" s="27" t="s">
        <v>338</v>
      </c>
      <c r="J132" s="5" t="s">
        <v>111</v>
      </c>
      <c r="K132" s="36" t="s">
        <v>339</v>
      </c>
      <c r="L132" s="27" t="str">
        <f>VLOOKUP(K132,[1]CódigosRetorno!$A$2:$B$1996,2,FALSE)</f>
        <v>El RUC del proveedor no esta habido.</v>
      </c>
      <c r="M132" s="5" t="s">
        <v>85</v>
      </c>
      <c r="N132" s="5" t="s">
        <v>150</v>
      </c>
      <c r="O132" s="6"/>
    </row>
    <row r="133" spans="1:15" ht="24" x14ac:dyDescent="0.25">
      <c r="A133" s="6"/>
      <c r="B133" s="278"/>
      <c r="C133" s="279"/>
      <c r="D133" s="281"/>
      <c r="E133" s="285"/>
      <c r="F133" s="269"/>
      <c r="G133" s="268"/>
      <c r="H133" s="265"/>
      <c r="I133" s="27" t="s">
        <v>340</v>
      </c>
      <c r="J133" s="5" t="s">
        <v>65</v>
      </c>
      <c r="K133" s="41" t="s">
        <v>333</v>
      </c>
      <c r="L133" s="27" t="str">
        <f>VLOOKUP(K133,[1]CódigosRetorno!$A$2:$B$1996,2,FALSE)</f>
        <v>El valor ingresado como documento de identidad del proveedor es incorrecto</v>
      </c>
      <c r="M133" s="5" t="s">
        <v>67</v>
      </c>
      <c r="N133" s="5"/>
      <c r="O133" s="6"/>
    </row>
    <row r="134" spans="1:15" ht="24" x14ac:dyDescent="0.25">
      <c r="A134" s="6"/>
      <c r="B134" s="278"/>
      <c r="C134" s="279"/>
      <c r="D134" s="281"/>
      <c r="E134" s="285"/>
      <c r="F134" s="269"/>
      <c r="G134" s="268"/>
      <c r="H134" s="265"/>
      <c r="I134" s="27" t="s">
        <v>341</v>
      </c>
      <c r="J134" s="5" t="s">
        <v>65</v>
      </c>
      <c r="K134" s="3" t="s">
        <v>342</v>
      </c>
      <c r="L134" s="27" t="str">
        <f>VLOOKUP(K134,[1]CódigosRetorno!$A$2:$B$1996,2,FALSE)</f>
        <v>Número de DNI no existe</v>
      </c>
      <c r="M134" s="5" t="s">
        <v>85</v>
      </c>
      <c r="N134" s="5" t="s">
        <v>302</v>
      </c>
      <c r="O134" s="6"/>
    </row>
    <row r="135" spans="1:15" ht="60" x14ac:dyDescent="0.25">
      <c r="A135" s="6"/>
      <c r="B135" s="290"/>
      <c r="C135" s="274"/>
      <c r="D135" s="284"/>
      <c r="E135" s="272"/>
      <c r="F135" s="269"/>
      <c r="G135" s="268"/>
      <c r="H135" s="265"/>
      <c r="I135" s="27" t="s">
        <v>343</v>
      </c>
      <c r="J135" s="5" t="s">
        <v>65</v>
      </c>
      <c r="K135" s="41" t="s">
        <v>333</v>
      </c>
      <c r="L135" s="27" t="str">
        <f>VLOOKUP(K135,[1]CódigosRetorno!$A$2:$B$1996,2,FALSE)</f>
        <v>El valor ingresado como documento de identidad del proveedor es incorrecto</v>
      </c>
      <c r="M135" s="5" t="s">
        <v>67</v>
      </c>
      <c r="N135" s="5"/>
      <c r="O135" s="6"/>
    </row>
    <row r="136" spans="1:15" ht="36" x14ac:dyDescent="0.25">
      <c r="A136" s="6"/>
      <c r="B136" s="276">
        <f>+B115+1</f>
        <v>18</v>
      </c>
      <c r="C136" s="267" t="s">
        <v>344</v>
      </c>
      <c r="D136" s="292" t="s">
        <v>61</v>
      </c>
      <c r="E136" s="269" t="s">
        <v>15</v>
      </c>
      <c r="F136" s="269" t="s">
        <v>36</v>
      </c>
      <c r="G136" s="268"/>
      <c r="H136" s="265" t="s">
        <v>345</v>
      </c>
      <c r="I136" s="27" t="s">
        <v>346</v>
      </c>
      <c r="J136" s="5" t="s">
        <v>65</v>
      </c>
      <c r="K136" s="41" t="s">
        <v>347</v>
      </c>
      <c r="L136" s="27" t="str">
        <f>VLOOKUP(K136,[1]CódigosRetorno!$A$2:$B$1996,2,FALSE)</f>
        <v>El XML no contiene el tag o no existe informacion del nombre o razon social del Proveedor</v>
      </c>
      <c r="M136" s="5" t="s">
        <v>67</v>
      </c>
      <c r="N136" s="5"/>
      <c r="O136" s="6"/>
    </row>
    <row r="137" spans="1:15" ht="60" x14ac:dyDescent="0.25">
      <c r="A137" s="6"/>
      <c r="B137" s="276"/>
      <c r="C137" s="267"/>
      <c r="D137" s="292"/>
      <c r="E137" s="269"/>
      <c r="F137" s="269"/>
      <c r="G137" s="268"/>
      <c r="H137" s="265"/>
      <c r="I137" s="27" t="s">
        <v>307</v>
      </c>
      <c r="J137" s="5" t="s">
        <v>111</v>
      </c>
      <c r="K137" s="3" t="s">
        <v>348</v>
      </c>
      <c r="L137" s="27" t="str">
        <f>VLOOKUP(K137,[1]CódigosRetorno!$A$2:$B$1996,2,FALSE)</f>
        <v>El nombre comercial del proveedor no cumple con el formato establecido</v>
      </c>
      <c r="M137" s="5" t="s">
        <v>67</v>
      </c>
      <c r="N137" s="5"/>
      <c r="O137" s="6"/>
    </row>
    <row r="138" spans="1:15" ht="24" x14ac:dyDescent="0.25">
      <c r="A138" s="6"/>
      <c r="B138" s="276"/>
      <c r="C138" s="267"/>
      <c r="D138" s="292"/>
      <c r="E138" s="269"/>
      <c r="F138" s="269"/>
      <c r="G138" s="268"/>
      <c r="H138" s="265"/>
      <c r="I138" s="27" t="s">
        <v>329</v>
      </c>
      <c r="J138" s="5" t="s">
        <v>111</v>
      </c>
      <c r="K138" s="3" t="s">
        <v>319</v>
      </c>
      <c r="L138" s="27" t="str">
        <f>VLOOKUP(K138,[1]CódigosRetorno!$A$2:$B$1996,2,FALSE)</f>
        <v>La guía no debe contener datos del proveedor.</v>
      </c>
      <c r="M138" s="5" t="s">
        <v>67</v>
      </c>
      <c r="N138" s="5"/>
      <c r="O138" s="6"/>
    </row>
    <row r="139" spans="1:15" x14ac:dyDescent="0.25">
      <c r="A139" s="6"/>
      <c r="B139" s="38" t="s">
        <v>349</v>
      </c>
      <c r="C139" s="52"/>
      <c r="D139" s="52"/>
      <c r="E139" s="52"/>
      <c r="F139" s="39"/>
      <c r="G139" s="24"/>
      <c r="H139" s="25"/>
      <c r="I139" s="23"/>
      <c r="J139" s="23"/>
      <c r="K139" s="23"/>
      <c r="L139" s="23"/>
      <c r="M139" s="24"/>
      <c r="N139" s="26"/>
      <c r="O139" s="6"/>
    </row>
    <row r="140" spans="1:15" ht="36" x14ac:dyDescent="0.25">
      <c r="A140" s="6"/>
      <c r="B140" s="277">
        <f>B136+1</f>
        <v>19</v>
      </c>
      <c r="C140" s="273" t="s">
        <v>350</v>
      </c>
      <c r="D140" s="280" t="s">
        <v>61</v>
      </c>
      <c r="E140" s="271" t="s">
        <v>15</v>
      </c>
      <c r="F140" s="272" t="s">
        <v>17</v>
      </c>
      <c r="G140" s="272" t="s">
        <v>273</v>
      </c>
      <c r="H140" s="274" t="s">
        <v>351</v>
      </c>
      <c r="I140" s="56" t="s">
        <v>352</v>
      </c>
      <c r="J140" s="46" t="s">
        <v>65</v>
      </c>
      <c r="K140" s="47" t="s">
        <v>353</v>
      </c>
      <c r="L140" s="27" t="str">
        <f>VLOOKUP(K140,[1]CódigosRetorno!$A$2:$B$1996,2,FALSE)</f>
        <v>El XML no contiene el tag o no existe informacion del tipo de documento identidad del Comprador</v>
      </c>
      <c r="M140" s="46" t="s">
        <v>67</v>
      </c>
      <c r="N140" s="56"/>
      <c r="O140" s="6"/>
    </row>
    <row r="141" spans="1:15" ht="24" x14ac:dyDescent="0.25">
      <c r="A141" s="6"/>
      <c r="B141" s="278"/>
      <c r="C141" s="279"/>
      <c r="D141" s="281"/>
      <c r="E141" s="285"/>
      <c r="F141" s="269"/>
      <c r="G141" s="269"/>
      <c r="H141" s="265"/>
      <c r="I141" s="27" t="s">
        <v>354</v>
      </c>
      <c r="J141" s="5" t="s">
        <v>65</v>
      </c>
      <c r="K141" s="3" t="s">
        <v>355</v>
      </c>
      <c r="L141" s="27" t="str">
        <f>VLOOKUP(K141,[1]CódigosRetorno!$A$2:$B$1996,2,FALSE)</f>
        <v>El tipo de documento de identidad del Comprador es invalido</v>
      </c>
      <c r="M141" s="5" t="s">
        <v>67</v>
      </c>
      <c r="N141" s="46" t="s">
        <v>279</v>
      </c>
      <c r="O141" s="6"/>
    </row>
    <row r="142" spans="1:15" ht="24.6" customHeight="1" x14ac:dyDescent="0.25">
      <c r="A142" s="6"/>
      <c r="B142" s="278"/>
      <c r="C142" s="279"/>
      <c r="D142" s="281"/>
      <c r="E142" s="285"/>
      <c r="F142" s="269"/>
      <c r="G142" s="269"/>
      <c r="H142" s="265"/>
      <c r="I142" s="27" t="s">
        <v>356</v>
      </c>
      <c r="J142" s="5" t="s">
        <v>111</v>
      </c>
      <c r="K142" s="3" t="s">
        <v>357</v>
      </c>
      <c r="L142" s="27" t="str">
        <f>VLOOKUP(K142,[1]CódigosRetorno!$A$2:$B$1996,2,FALSE)</f>
        <v>Para el motivo de traslado no corresponde consignar informacion del Comprador</v>
      </c>
      <c r="M142" s="5" t="s">
        <v>67</v>
      </c>
      <c r="N142" s="27"/>
      <c r="O142" s="6"/>
    </row>
    <row r="143" spans="1:15" ht="24" x14ac:dyDescent="0.25">
      <c r="A143" s="6"/>
      <c r="B143" s="278"/>
      <c r="C143" s="279"/>
      <c r="D143" s="281"/>
      <c r="E143" s="285"/>
      <c r="F143" s="269"/>
      <c r="G143" s="190" t="s">
        <v>133</v>
      </c>
      <c r="H143" s="193" t="s">
        <v>134</v>
      </c>
      <c r="I143" s="33" t="s">
        <v>135</v>
      </c>
      <c r="J143" s="5" t="s">
        <v>111</v>
      </c>
      <c r="K143" s="3" t="s">
        <v>136</v>
      </c>
      <c r="L143" s="27" t="str">
        <f>VLOOKUP(K143,[1]CódigosRetorno!$A$2:$B$1996,2,FALSE)</f>
        <v>El dato ingresado como atributo @schemeName es incorrecto.</v>
      </c>
      <c r="M143" s="5" t="s">
        <v>67</v>
      </c>
      <c r="N143" s="27"/>
      <c r="O143" s="6"/>
    </row>
    <row r="144" spans="1:15" ht="24" x14ac:dyDescent="0.25">
      <c r="A144" s="6"/>
      <c r="B144" s="278"/>
      <c r="C144" s="279"/>
      <c r="D144" s="281"/>
      <c r="E144" s="285"/>
      <c r="F144" s="269"/>
      <c r="G144" s="190" t="s">
        <v>108</v>
      </c>
      <c r="H144" s="193" t="s">
        <v>137</v>
      </c>
      <c r="I144" s="33" t="s">
        <v>110</v>
      </c>
      <c r="J144" s="5" t="s">
        <v>111</v>
      </c>
      <c r="K144" s="3" t="s">
        <v>138</v>
      </c>
      <c r="L144" s="27" t="str">
        <f>VLOOKUP(K144,[1]CódigosRetorno!$A$2:$B$1996,2,FALSE)</f>
        <v>El dato ingresado como atributo @schemeAgencyName es incorrecto.</v>
      </c>
      <c r="M144" s="5" t="s">
        <v>67</v>
      </c>
      <c r="N144" s="27"/>
      <c r="O144" s="6"/>
    </row>
    <row r="145" spans="1:15" ht="36" x14ac:dyDescent="0.25">
      <c r="A145" s="6"/>
      <c r="B145" s="278"/>
      <c r="C145" s="279"/>
      <c r="D145" s="281"/>
      <c r="E145" s="285"/>
      <c r="F145" s="269"/>
      <c r="G145" s="190" t="s">
        <v>139</v>
      </c>
      <c r="H145" s="193" t="s">
        <v>140</v>
      </c>
      <c r="I145" s="33" t="s">
        <v>141</v>
      </c>
      <c r="J145" s="5" t="s">
        <v>111</v>
      </c>
      <c r="K145" s="3" t="s">
        <v>142</v>
      </c>
      <c r="L145" s="27" t="str">
        <f>VLOOKUP(K145,[1]CódigosRetorno!$A$2:$B$1996,2,FALSE)</f>
        <v>El dato ingresado como atributo @schemeURI es incorrecto.</v>
      </c>
      <c r="M145" s="5" t="s">
        <v>67</v>
      </c>
      <c r="N145" s="27"/>
      <c r="O145" s="6"/>
    </row>
    <row r="146" spans="1:15" ht="48" x14ac:dyDescent="0.25">
      <c r="A146" s="6"/>
      <c r="B146" s="278"/>
      <c r="C146" s="279"/>
      <c r="D146" s="281"/>
      <c r="E146" s="285"/>
      <c r="F146" s="269" t="s">
        <v>18</v>
      </c>
      <c r="G146" s="287"/>
      <c r="H146" s="265" t="s">
        <v>358</v>
      </c>
      <c r="I146" s="27" t="s">
        <v>359</v>
      </c>
      <c r="J146" s="5" t="s">
        <v>111</v>
      </c>
      <c r="K146" s="3" t="s">
        <v>360</v>
      </c>
      <c r="L146" s="27" t="str">
        <f>VLOOKUP(K146,[1]CódigosRetorno!$A$2:$B$1996,2,FALSE)</f>
        <v>Para el motivo de traslado debe existir informacion del Comprador</v>
      </c>
      <c r="M146" s="5" t="s">
        <v>67</v>
      </c>
      <c r="N146" s="5"/>
      <c r="O146" s="6"/>
    </row>
    <row r="147" spans="1:15" ht="36" x14ac:dyDescent="0.25">
      <c r="A147" s="6"/>
      <c r="B147" s="278"/>
      <c r="C147" s="279"/>
      <c r="D147" s="281"/>
      <c r="E147" s="285"/>
      <c r="F147" s="269"/>
      <c r="G147" s="288"/>
      <c r="H147" s="265"/>
      <c r="I147" s="27" t="s">
        <v>361</v>
      </c>
      <c r="J147" s="5" t="s">
        <v>65</v>
      </c>
      <c r="K147" s="3" t="s">
        <v>362</v>
      </c>
      <c r="L147" s="27" t="str">
        <f>VLOOKUP(K147,[1]CódigosRetorno!$A$2:$B$1996,2,FALSE)</f>
        <v>El XML no contiene el tag o no existe informacion del numero de documento de identidad del Comprador</v>
      </c>
      <c r="M147" s="5" t="s">
        <v>67</v>
      </c>
      <c r="N147" s="5"/>
      <c r="O147" s="6"/>
    </row>
    <row r="148" spans="1:15" ht="48" x14ac:dyDescent="0.25">
      <c r="A148" s="6"/>
      <c r="B148" s="278"/>
      <c r="C148" s="279"/>
      <c r="D148" s="281"/>
      <c r="E148" s="285"/>
      <c r="F148" s="269"/>
      <c r="G148" s="288"/>
      <c r="H148" s="265"/>
      <c r="I148" s="27" t="s">
        <v>363</v>
      </c>
      <c r="J148" s="5" t="s">
        <v>65</v>
      </c>
      <c r="K148" s="3" t="s">
        <v>362</v>
      </c>
      <c r="L148" s="27" t="str">
        <f>VLOOKUP(K148,[1]CódigosRetorno!$A$2:$B$1996,2,FALSE)</f>
        <v>El XML no contiene el tag o no existe informacion del numero de documento de identidad del Comprador</v>
      </c>
      <c r="M148" s="5" t="s">
        <v>67</v>
      </c>
      <c r="N148" s="5"/>
      <c r="O148" s="6"/>
    </row>
    <row r="149" spans="1:15" ht="24" x14ac:dyDescent="0.25">
      <c r="A149" s="6"/>
      <c r="B149" s="278"/>
      <c r="C149" s="279"/>
      <c r="D149" s="281"/>
      <c r="E149" s="285"/>
      <c r="F149" s="269"/>
      <c r="G149" s="288"/>
      <c r="H149" s="265"/>
      <c r="I149" s="27" t="s">
        <v>364</v>
      </c>
      <c r="J149" s="5" t="s">
        <v>111</v>
      </c>
      <c r="K149" s="3" t="s">
        <v>357</v>
      </c>
      <c r="L149" s="27" t="str">
        <f>VLOOKUP(K149,[1]CódigosRetorno!$A$2:$B$1996,2,FALSE)</f>
        <v>Para el motivo de traslado no corresponde consignar informacion del Comprador</v>
      </c>
      <c r="M149" s="5" t="s">
        <v>67</v>
      </c>
      <c r="N149" s="5"/>
      <c r="O149" s="6"/>
    </row>
    <row r="150" spans="1:15" ht="48" x14ac:dyDescent="0.25">
      <c r="A150" s="6"/>
      <c r="B150" s="278"/>
      <c r="C150" s="279"/>
      <c r="D150" s="281"/>
      <c r="E150" s="285"/>
      <c r="F150" s="269"/>
      <c r="G150" s="288"/>
      <c r="H150" s="265"/>
      <c r="I150" s="27" t="s">
        <v>365</v>
      </c>
      <c r="J150" s="5" t="s">
        <v>65</v>
      </c>
      <c r="K150" s="3" t="s">
        <v>366</v>
      </c>
      <c r="L150" s="27" t="str">
        <f>VLOOKUP(K150,[1]CódigosRetorno!$A$2:$B$1996,2,FALSE)</f>
        <v>El tipo y numero de documento de identidad del Remitente no puede ser es el mismo que el Comprador</v>
      </c>
      <c r="M150" s="5" t="s">
        <v>67</v>
      </c>
      <c r="N150" s="5"/>
      <c r="O150" s="6"/>
    </row>
    <row r="151" spans="1:15" ht="48" x14ac:dyDescent="0.25">
      <c r="A151" s="6"/>
      <c r="B151" s="278"/>
      <c r="C151" s="279"/>
      <c r="D151" s="281"/>
      <c r="E151" s="285"/>
      <c r="F151" s="269"/>
      <c r="G151" s="288"/>
      <c r="H151" s="265"/>
      <c r="I151" s="27" t="s">
        <v>367</v>
      </c>
      <c r="J151" s="5" t="s">
        <v>65</v>
      </c>
      <c r="K151" s="3" t="s">
        <v>368</v>
      </c>
      <c r="L151" s="27" t="str">
        <f>VLOOKUP(K151,[1]CódigosRetorno!$A$2:$B$1996,2,FALSE)</f>
        <v>El tipo y numero de documento de identidad del Destinatario no debe ser es el mismo que el Comprador</v>
      </c>
      <c r="M151" s="5" t="s">
        <v>67</v>
      </c>
      <c r="N151" s="5"/>
      <c r="O151" s="6"/>
    </row>
    <row r="152" spans="1:15" ht="36" x14ac:dyDescent="0.25">
      <c r="A152" s="6"/>
      <c r="B152" s="278"/>
      <c r="C152" s="279"/>
      <c r="D152" s="281"/>
      <c r="E152" s="285"/>
      <c r="F152" s="269"/>
      <c r="G152" s="288"/>
      <c r="H152" s="265"/>
      <c r="I152" s="27" t="s">
        <v>369</v>
      </c>
      <c r="J152" s="5" t="s">
        <v>65</v>
      </c>
      <c r="K152" s="41" t="s">
        <v>370</v>
      </c>
      <c r="L152" s="27" t="str">
        <f>VLOOKUP(K152,[1]CódigosRetorno!$A$2:$B$1996,2,FALSE)</f>
        <v>El valor ingresado como documento de identidad del Comprador es incorrecto</v>
      </c>
      <c r="M152" s="5" t="s">
        <v>67</v>
      </c>
      <c r="N152" s="5"/>
      <c r="O152" s="6"/>
    </row>
    <row r="153" spans="1:15" ht="24" x14ac:dyDescent="0.25">
      <c r="A153" s="6"/>
      <c r="B153" s="278"/>
      <c r="C153" s="279"/>
      <c r="D153" s="281"/>
      <c r="E153" s="285"/>
      <c r="F153" s="269"/>
      <c r="G153" s="288"/>
      <c r="H153" s="265"/>
      <c r="I153" s="27" t="s">
        <v>371</v>
      </c>
      <c r="J153" s="5" t="s">
        <v>65</v>
      </c>
      <c r="K153" s="41" t="s">
        <v>372</v>
      </c>
      <c r="L153" s="27" t="str">
        <f>VLOOKUP(K153,[1]CódigosRetorno!$A$2:$B$1996,2,FALSE)</f>
        <v>Numero de RUC del Comprador no existe</v>
      </c>
      <c r="M153" s="5" t="s">
        <v>85</v>
      </c>
      <c r="N153" s="5" t="s">
        <v>150</v>
      </c>
      <c r="O153" s="6"/>
    </row>
    <row r="154" spans="1:15" ht="36" x14ac:dyDescent="0.25">
      <c r="A154" s="6"/>
      <c r="B154" s="278"/>
      <c r="C154" s="279"/>
      <c r="D154" s="281"/>
      <c r="E154" s="285"/>
      <c r="F154" s="269"/>
      <c r="G154" s="288"/>
      <c r="H154" s="265"/>
      <c r="I154" s="27" t="s">
        <v>373</v>
      </c>
      <c r="J154" s="5" t="s">
        <v>111</v>
      </c>
      <c r="K154" s="41" t="s">
        <v>374</v>
      </c>
      <c r="L154" s="27" t="str">
        <f>VLOOKUP(K154,[1]CódigosRetorno!$A$2:$B$1996,2,FALSE)</f>
        <v>El RUC del Comprador no esta activo</v>
      </c>
      <c r="M154" s="5" t="s">
        <v>85</v>
      </c>
      <c r="N154" s="5" t="s">
        <v>150</v>
      </c>
      <c r="O154" s="6"/>
    </row>
    <row r="155" spans="1:15" ht="36" x14ac:dyDescent="0.25">
      <c r="A155" s="6"/>
      <c r="B155" s="278"/>
      <c r="C155" s="279"/>
      <c r="D155" s="281"/>
      <c r="E155" s="285"/>
      <c r="F155" s="269"/>
      <c r="G155" s="288"/>
      <c r="H155" s="265"/>
      <c r="I155" s="27" t="s">
        <v>375</v>
      </c>
      <c r="J155" s="5" t="s">
        <v>111</v>
      </c>
      <c r="K155" s="41" t="s">
        <v>376</v>
      </c>
      <c r="L155" s="27" t="str">
        <f>VLOOKUP(K155,[1]CódigosRetorno!$A$2:$B$1996,2,FALSE)</f>
        <v>El RUC del Comprador no esta habido</v>
      </c>
      <c r="M155" s="5" t="s">
        <v>85</v>
      </c>
      <c r="N155" s="5" t="s">
        <v>150</v>
      </c>
      <c r="O155" s="6"/>
    </row>
    <row r="156" spans="1:15" ht="24" x14ac:dyDescent="0.25">
      <c r="A156" s="6"/>
      <c r="B156" s="278"/>
      <c r="C156" s="279"/>
      <c r="D156" s="281"/>
      <c r="E156" s="285"/>
      <c r="F156" s="269"/>
      <c r="G156" s="288"/>
      <c r="H156" s="265"/>
      <c r="I156" s="27" t="s">
        <v>377</v>
      </c>
      <c r="J156" s="5" t="s">
        <v>65</v>
      </c>
      <c r="K156" s="41" t="s">
        <v>370</v>
      </c>
      <c r="L156" s="27" t="str">
        <f>VLOOKUP(K156,[1]CódigosRetorno!$A$2:$B$1996,2,FALSE)</f>
        <v>El valor ingresado como documento de identidad del Comprador es incorrecto</v>
      </c>
      <c r="M156" s="5" t="s">
        <v>67</v>
      </c>
      <c r="N156" s="5"/>
      <c r="O156" s="6"/>
    </row>
    <row r="157" spans="1:15" ht="24" x14ac:dyDescent="0.25">
      <c r="A157" s="6"/>
      <c r="B157" s="278"/>
      <c r="C157" s="279"/>
      <c r="D157" s="281"/>
      <c r="E157" s="285"/>
      <c r="F157" s="269"/>
      <c r="G157" s="288"/>
      <c r="H157" s="265"/>
      <c r="I157" s="27" t="s">
        <v>378</v>
      </c>
      <c r="J157" s="5" t="s">
        <v>65</v>
      </c>
      <c r="K157" s="3" t="s">
        <v>379</v>
      </c>
      <c r="L157" s="27" t="str">
        <f>VLOOKUP(K157,[1]CódigosRetorno!$A$2:$B$1996,2,FALSE)</f>
        <v>Numero de DNI del Comprador no existe</v>
      </c>
      <c r="M157" s="5" t="s">
        <v>85</v>
      </c>
      <c r="N157" s="5" t="s">
        <v>302</v>
      </c>
      <c r="O157" s="6"/>
    </row>
    <row r="158" spans="1:15" ht="60" x14ac:dyDescent="0.25">
      <c r="A158" s="6"/>
      <c r="B158" s="290"/>
      <c r="C158" s="274"/>
      <c r="D158" s="284"/>
      <c r="E158" s="272"/>
      <c r="F158" s="271"/>
      <c r="G158" s="288"/>
      <c r="H158" s="273"/>
      <c r="I158" s="42" t="s">
        <v>380</v>
      </c>
      <c r="J158" s="49" t="s">
        <v>65</v>
      </c>
      <c r="K158" s="59" t="s">
        <v>370</v>
      </c>
      <c r="L158" s="27" t="str">
        <f>VLOOKUP(K158,[1]CódigosRetorno!$A$2:$B$1996,2,FALSE)</f>
        <v>El valor ingresado como documento de identidad del Comprador es incorrecto</v>
      </c>
      <c r="M158" s="49" t="s">
        <v>67</v>
      </c>
      <c r="N158" s="49"/>
      <c r="O158" s="6"/>
    </row>
    <row r="159" spans="1:15" ht="36" x14ac:dyDescent="0.25">
      <c r="A159" s="6"/>
      <c r="B159" s="276">
        <f>+B140+1</f>
        <v>20</v>
      </c>
      <c r="C159" s="267" t="s">
        <v>381</v>
      </c>
      <c r="D159" s="292" t="s">
        <v>61</v>
      </c>
      <c r="E159" s="269" t="s">
        <v>15</v>
      </c>
      <c r="F159" s="269" t="s">
        <v>36</v>
      </c>
      <c r="G159" s="287"/>
      <c r="H159" s="265" t="s">
        <v>382</v>
      </c>
      <c r="I159" s="27" t="s">
        <v>383</v>
      </c>
      <c r="J159" s="5" t="s">
        <v>65</v>
      </c>
      <c r="K159" s="41" t="s">
        <v>384</v>
      </c>
      <c r="L159" s="27" t="str">
        <f>VLOOKUP(K159,[1]CódigosRetorno!$A$2:$B$1996,2,FALSE)</f>
        <v>El XML no contiene el tag o no existe informacion del nombre o razon social del Comprador</v>
      </c>
      <c r="M159" s="28" t="s">
        <v>67</v>
      </c>
      <c r="N159" s="28"/>
      <c r="O159" s="6"/>
    </row>
    <row r="160" spans="1:15" ht="72" x14ac:dyDescent="0.25">
      <c r="A160" s="6"/>
      <c r="B160" s="276"/>
      <c r="C160" s="267"/>
      <c r="D160" s="292"/>
      <c r="E160" s="269"/>
      <c r="F160" s="269"/>
      <c r="G160" s="288"/>
      <c r="H160" s="265"/>
      <c r="I160" s="27" t="s">
        <v>385</v>
      </c>
      <c r="J160" s="5" t="s">
        <v>111</v>
      </c>
      <c r="K160" s="3" t="s">
        <v>386</v>
      </c>
      <c r="L160" s="27" t="str">
        <f>VLOOKUP(K160,[1]CódigosRetorno!$A$2:$B$1996,2,FALSE)</f>
        <v>El nombre o razon social del Comprador no cumple con el formato establecido</v>
      </c>
      <c r="M160" s="28" t="s">
        <v>67</v>
      </c>
      <c r="N160" s="28"/>
      <c r="O160" s="6"/>
    </row>
    <row r="161" spans="1:15" ht="24" x14ac:dyDescent="0.25">
      <c r="A161" s="6"/>
      <c r="B161" s="276"/>
      <c r="C161" s="267"/>
      <c r="D161" s="292"/>
      <c r="E161" s="269"/>
      <c r="F161" s="269"/>
      <c r="G161" s="291"/>
      <c r="H161" s="265"/>
      <c r="I161" s="27" t="s">
        <v>364</v>
      </c>
      <c r="J161" s="5" t="s">
        <v>111</v>
      </c>
      <c r="K161" s="3" t="s">
        <v>357</v>
      </c>
      <c r="L161" s="27" t="str">
        <f>VLOOKUP(K161,[1]CódigosRetorno!$A$2:$B$1996,2,FALSE)</f>
        <v>Para el motivo de traslado no corresponde consignar informacion del Comprador</v>
      </c>
      <c r="M161" s="28" t="s">
        <v>67</v>
      </c>
      <c r="N161" s="28"/>
      <c r="O161" s="6"/>
    </row>
    <row r="162" spans="1:15" x14ac:dyDescent="0.25">
      <c r="A162" s="6"/>
      <c r="B162" s="38" t="s">
        <v>387</v>
      </c>
      <c r="C162" s="39"/>
      <c r="D162" s="23"/>
      <c r="E162" s="23"/>
      <c r="F162" s="23"/>
      <c r="G162" s="24"/>
      <c r="H162" s="25"/>
      <c r="I162" s="23"/>
      <c r="J162" s="23"/>
      <c r="K162" s="23"/>
      <c r="L162" s="23"/>
      <c r="M162" s="24"/>
      <c r="N162" s="26"/>
      <c r="O162" s="6"/>
    </row>
    <row r="163" spans="1:15" ht="20.25" customHeight="1" x14ac:dyDescent="0.25">
      <c r="A163" s="6"/>
      <c r="B163" s="36">
        <f>B159+1</f>
        <v>21</v>
      </c>
      <c r="C163" s="181" t="s">
        <v>388</v>
      </c>
      <c r="D163" s="177" t="s">
        <v>61</v>
      </c>
      <c r="E163" s="177" t="s">
        <v>5</v>
      </c>
      <c r="F163" s="175" t="s">
        <v>143</v>
      </c>
      <c r="G163" s="175" t="s">
        <v>389</v>
      </c>
      <c r="H163" s="60" t="s">
        <v>390</v>
      </c>
      <c r="I163" s="61" t="s">
        <v>391</v>
      </c>
      <c r="J163" s="36" t="s">
        <v>58</v>
      </c>
      <c r="K163" s="36" t="s">
        <v>58</v>
      </c>
      <c r="L163" s="27" t="str">
        <f>VLOOKUP(K163,[1]CódigosRetorno!$A$2:$B$1996,2,FALSE)</f>
        <v>-</v>
      </c>
      <c r="M163" s="36"/>
      <c r="N163" s="36"/>
      <c r="O163" s="6"/>
    </row>
    <row r="164" spans="1:15" x14ac:dyDescent="0.25">
      <c r="A164" s="6"/>
      <c r="B164" s="266">
        <f>B163+1</f>
        <v>22</v>
      </c>
      <c r="C164" s="293" t="s">
        <v>392</v>
      </c>
      <c r="D164" s="294" t="s">
        <v>61</v>
      </c>
      <c r="E164" s="269" t="s">
        <v>5</v>
      </c>
      <c r="F164" s="269" t="s">
        <v>30</v>
      </c>
      <c r="G164" s="269" t="s">
        <v>393</v>
      </c>
      <c r="H164" s="265" t="s">
        <v>394</v>
      </c>
      <c r="I164" s="33" t="s">
        <v>64</v>
      </c>
      <c r="J164" s="28" t="s">
        <v>65</v>
      </c>
      <c r="K164" s="30" t="s">
        <v>395</v>
      </c>
      <c r="L164" s="27" t="str">
        <f>VLOOKUP(K164,[1]CódigosRetorno!$A$2:$B$1996,2,FALSE)</f>
        <v>El XML no contiene el tag o no existe informacion del motivo de traslado</v>
      </c>
      <c r="M164" s="28" t="s">
        <v>67</v>
      </c>
      <c r="N164" s="28"/>
      <c r="O164" s="6"/>
    </row>
    <row r="165" spans="1:15" x14ac:dyDescent="0.25">
      <c r="A165" s="6"/>
      <c r="B165" s="266"/>
      <c r="C165" s="293"/>
      <c r="D165" s="294"/>
      <c r="E165" s="269"/>
      <c r="F165" s="269"/>
      <c r="G165" s="269"/>
      <c r="H165" s="265"/>
      <c r="I165" s="33" t="s">
        <v>396</v>
      </c>
      <c r="J165" s="28" t="s">
        <v>65</v>
      </c>
      <c r="K165" s="30" t="s">
        <v>397</v>
      </c>
      <c r="L165" s="27" t="str">
        <f>VLOOKUP(K165,[1]CódigosRetorno!$A$2:$B$1996,2,FALSE)</f>
        <v>El valor ingresado como motivo de traslado no es valido</v>
      </c>
      <c r="M165" s="28" t="s">
        <v>67</v>
      </c>
      <c r="N165" s="46" t="s">
        <v>398</v>
      </c>
      <c r="O165" s="6"/>
    </row>
    <row r="166" spans="1:15" ht="24" x14ac:dyDescent="0.25">
      <c r="A166" s="6"/>
      <c r="B166" s="266"/>
      <c r="C166" s="293"/>
      <c r="D166" s="294"/>
      <c r="E166" s="269"/>
      <c r="F166" s="269"/>
      <c r="G166" s="188" t="s">
        <v>108</v>
      </c>
      <c r="H166" s="189" t="s">
        <v>109</v>
      </c>
      <c r="I166" s="33" t="s">
        <v>110</v>
      </c>
      <c r="J166" s="30" t="s">
        <v>111</v>
      </c>
      <c r="K166" s="35" t="s">
        <v>112</v>
      </c>
      <c r="L166" s="27" t="str">
        <f>VLOOKUP(K166,[1]CódigosRetorno!$A$2:$B$1996,2,FALSE)</f>
        <v>El dato ingresado como atributo @listAgencyName es incorrecto.</v>
      </c>
      <c r="M166" s="28" t="s">
        <v>67</v>
      </c>
      <c r="N166" s="28"/>
      <c r="O166" s="6"/>
    </row>
    <row r="167" spans="1:15" ht="24" x14ac:dyDescent="0.25">
      <c r="A167" s="6"/>
      <c r="B167" s="266"/>
      <c r="C167" s="293"/>
      <c r="D167" s="294"/>
      <c r="E167" s="269"/>
      <c r="F167" s="269"/>
      <c r="G167" s="188" t="s">
        <v>399</v>
      </c>
      <c r="H167" s="189" t="s">
        <v>114</v>
      </c>
      <c r="I167" s="33" t="s">
        <v>400</v>
      </c>
      <c r="J167" s="34" t="s">
        <v>111</v>
      </c>
      <c r="K167" s="30" t="s">
        <v>116</v>
      </c>
      <c r="L167" s="27" t="str">
        <f>VLOOKUP(K167,[1]CódigosRetorno!$A$2:$B$1996,2,FALSE)</f>
        <v>El dato ingresado como atributo @listName es incorrecto.</v>
      </c>
      <c r="M167" s="28" t="s">
        <v>67</v>
      </c>
      <c r="N167" s="28"/>
      <c r="O167" s="6"/>
    </row>
    <row r="168" spans="1:15" ht="36" x14ac:dyDescent="0.25">
      <c r="A168" s="6"/>
      <c r="B168" s="266"/>
      <c r="C168" s="293"/>
      <c r="D168" s="294"/>
      <c r="E168" s="269"/>
      <c r="F168" s="269"/>
      <c r="G168" s="188" t="s">
        <v>401</v>
      </c>
      <c r="H168" s="189" t="s">
        <v>118</v>
      </c>
      <c r="I168" s="33" t="s">
        <v>402</v>
      </c>
      <c r="J168" s="30" t="s">
        <v>111</v>
      </c>
      <c r="K168" s="35" t="s">
        <v>120</v>
      </c>
      <c r="L168" s="27" t="str">
        <f>VLOOKUP(K168,[1]CódigosRetorno!$A$2:$B$1996,2,FALSE)</f>
        <v>El dato ingresado como atributo @listURI es incorrecto.</v>
      </c>
      <c r="M168" s="28" t="s">
        <v>67</v>
      </c>
      <c r="N168" s="28"/>
      <c r="O168" s="6"/>
    </row>
    <row r="169" spans="1:15" ht="24" x14ac:dyDescent="0.25">
      <c r="A169" s="6"/>
      <c r="B169" s="266">
        <f>+B164+1</f>
        <v>23</v>
      </c>
      <c r="C169" s="293" t="s">
        <v>403</v>
      </c>
      <c r="D169" s="268" t="s">
        <v>61</v>
      </c>
      <c r="E169" s="269" t="s">
        <v>15</v>
      </c>
      <c r="F169" s="269" t="s">
        <v>35</v>
      </c>
      <c r="G169" s="268"/>
      <c r="H169" s="273" t="s">
        <v>404</v>
      </c>
      <c r="I169" s="27" t="s">
        <v>405</v>
      </c>
      <c r="J169" s="5" t="s">
        <v>65</v>
      </c>
      <c r="K169" s="3" t="s">
        <v>406</v>
      </c>
      <c r="L169" s="27" t="str">
        <f>VLOOKUP(K169,[1]CódigosRetorno!$A$2:$B$1996,2,FALSE)</f>
        <v>El XML no contiene el atributo o no existe informacion en descripcion del motivo de traslado.</v>
      </c>
      <c r="M169" s="5" t="s">
        <v>67</v>
      </c>
      <c r="N169" s="5"/>
      <c r="O169" s="6"/>
    </row>
    <row r="170" spans="1:15" ht="60" x14ac:dyDescent="0.25">
      <c r="A170" s="6"/>
      <c r="B170" s="266"/>
      <c r="C170" s="293"/>
      <c r="D170" s="268"/>
      <c r="E170" s="269"/>
      <c r="F170" s="269"/>
      <c r="G170" s="268"/>
      <c r="H170" s="279"/>
      <c r="I170" s="27" t="s">
        <v>407</v>
      </c>
      <c r="J170" s="5" t="s">
        <v>111</v>
      </c>
      <c r="K170" s="3" t="s">
        <v>408</v>
      </c>
      <c r="L170" s="27" t="str">
        <f>VLOOKUP(K170,[1]CódigosRetorno!$A$2:$B$1996,2,FALSE)</f>
        <v>El valor ingresado como descripcion de motivo de traslado no cumple con el estandar.</v>
      </c>
      <c r="M170" s="5" t="s">
        <v>67</v>
      </c>
      <c r="N170" s="5"/>
      <c r="O170" s="6"/>
    </row>
    <row r="171" spans="1:15" ht="24" x14ac:dyDescent="0.25">
      <c r="A171" s="6"/>
      <c r="B171" s="266"/>
      <c r="C171" s="293"/>
      <c r="D171" s="268"/>
      <c r="E171" s="269"/>
      <c r="F171" s="269"/>
      <c r="G171" s="268"/>
      <c r="H171" s="279"/>
      <c r="I171" s="27" t="s">
        <v>409</v>
      </c>
      <c r="J171" s="5" t="s">
        <v>111</v>
      </c>
      <c r="K171" s="3" t="s">
        <v>408</v>
      </c>
      <c r="L171" s="27" t="str">
        <f>VLOOKUP(K171,[1]CódigosRetorno!$A$2:$B$1996,2,FALSE)</f>
        <v>El valor ingresado como descripcion de motivo de traslado no cumple con el estandar.</v>
      </c>
      <c r="M171" s="5" t="s">
        <v>67</v>
      </c>
      <c r="N171" s="5"/>
      <c r="O171" s="6"/>
    </row>
    <row r="172" spans="1:15" ht="24" x14ac:dyDescent="0.25">
      <c r="A172" s="6"/>
      <c r="B172" s="266"/>
      <c r="C172" s="293"/>
      <c r="D172" s="268"/>
      <c r="E172" s="269"/>
      <c r="F172" s="269"/>
      <c r="G172" s="268"/>
      <c r="H172" s="274"/>
      <c r="I172" s="27" t="s">
        <v>410</v>
      </c>
      <c r="J172" s="5" t="s">
        <v>111</v>
      </c>
      <c r="K172" s="3" t="s">
        <v>408</v>
      </c>
      <c r="L172" s="27" t="str">
        <f>VLOOKUP(K172,[1]CódigosRetorno!$A$2:$B$1996,2,FALSE)</f>
        <v>El valor ingresado como descripcion de motivo de traslado no cumple con el estandar.</v>
      </c>
      <c r="M172" s="5" t="s">
        <v>67</v>
      </c>
      <c r="N172" s="5" t="s">
        <v>411</v>
      </c>
      <c r="O172" s="6"/>
    </row>
    <row r="173" spans="1:15" ht="36" x14ac:dyDescent="0.25">
      <c r="A173" s="6"/>
      <c r="B173" s="295">
        <v>24</v>
      </c>
      <c r="C173" s="273" t="s">
        <v>412</v>
      </c>
      <c r="D173" s="280" t="s">
        <v>61</v>
      </c>
      <c r="E173" s="269" t="s">
        <v>15</v>
      </c>
      <c r="F173" s="269" t="s">
        <v>413</v>
      </c>
      <c r="G173" s="269" t="s">
        <v>414</v>
      </c>
      <c r="H173" s="273" t="s">
        <v>415</v>
      </c>
      <c r="I173" s="27" t="s">
        <v>416</v>
      </c>
      <c r="J173" s="5" t="s">
        <v>111</v>
      </c>
      <c r="K173" s="41" t="s">
        <v>417</v>
      </c>
      <c r="L173" s="27" t="str">
        <f>VLOOKUP(K173,[1]CódigosRetorno!$A$2:$B$1996,2,FALSE)</f>
        <v>Si el motivo de traslado es Importacion o Exportacion y no se trata de un traslado total de la DAM o DS, debe indicar el Peso bruto total de los items seleccionados</v>
      </c>
      <c r="M173" s="5" t="s">
        <v>67</v>
      </c>
      <c r="N173" s="5"/>
      <c r="O173" s="6"/>
    </row>
    <row r="174" spans="1:15" ht="24" x14ac:dyDescent="0.25">
      <c r="A174" s="6"/>
      <c r="B174" s="296"/>
      <c r="C174" s="279"/>
      <c r="D174" s="281"/>
      <c r="E174" s="269"/>
      <c r="F174" s="269"/>
      <c r="G174" s="269"/>
      <c r="H174" s="279"/>
      <c r="I174" s="27" t="s">
        <v>418</v>
      </c>
      <c r="J174" s="5" t="s">
        <v>65</v>
      </c>
      <c r="K174" s="41" t="s">
        <v>419</v>
      </c>
      <c r="L174" s="27" t="str">
        <f>VLOOKUP(K174,[1]CódigosRetorno!$A$2:$B$1996,2,FALSE)</f>
        <v>Si el motivo de traslado no es 08-Importacion ni 09-Exportacion, no debe consignar el campo 'Peso bruto total de los items seleccionados'</v>
      </c>
      <c r="M174" s="5" t="s">
        <v>67</v>
      </c>
      <c r="N174" s="5"/>
      <c r="O174" s="6"/>
    </row>
    <row r="175" spans="1:15" ht="24" x14ac:dyDescent="0.25">
      <c r="A175" s="6"/>
      <c r="B175" s="296"/>
      <c r="C175" s="279"/>
      <c r="D175" s="281"/>
      <c r="E175" s="269"/>
      <c r="F175" s="269"/>
      <c r="G175" s="269"/>
      <c r="H175" s="274"/>
      <c r="I175" s="27" t="s">
        <v>420</v>
      </c>
      <c r="J175" s="5" t="s">
        <v>65</v>
      </c>
      <c r="K175" s="41" t="s">
        <v>421</v>
      </c>
      <c r="L175" s="27" t="str">
        <f>VLOOKUP(K175,[1]CódigosRetorno!$A$2:$B$1996,2,FALSE)</f>
        <v>El dato ingresado como 'Peso bruto total de los items seleccionados' no cumple con el formato establecido</v>
      </c>
      <c r="M175" s="5" t="s">
        <v>67</v>
      </c>
      <c r="N175" s="5"/>
      <c r="O175" s="6"/>
    </row>
    <row r="176" spans="1:15" ht="36" x14ac:dyDescent="0.25">
      <c r="A176" s="6"/>
      <c r="B176" s="297"/>
      <c r="C176" s="274"/>
      <c r="D176" s="284"/>
      <c r="E176" s="199"/>
      <c r="F176" s="188" t="s">
        <v>19</v>
      </c>
      <c r="G176" s="188" t="s">
        <v>422</v>
      </c>
      <c r="H176" s="189" t="s">
        <v>423</v>
      </c>
      <c r="I176" s="27" t="s">
        <v>424</v>
      </c>
      <c r="J176" s="5" t="s">
        <v>65</v>
      </c>
      <c r="K176" s="41" t="s">
        <v>425</v>
      </c>
      <c r="L176" s="27" t="str">
        <f>VLOOKUP(K176,[1]CódigosRetorno!$A$2:$B$1996,2,FALSE)</f>
        <v>La unidad de medida del 'Peso bruto total de los items seleccionados' debe ser kilogramos (KGM)</v>
      </c>
      <c r="M176" s="5" t="s">
        <v>67</v>
      </c>
      <c r="N176" s="5"/>
      <c r="O176" s="6"/>
    </row>
    <row r="177" spans="1:15" ht="36" x14ac:dyDescent="0.25">
      <c r="A177" s="6"/>
      <c r="B177" s="295">
        <v>25</v>
      </c>
      <c r="C177" s="273" t="s">
        <v>426</v>
      </c>
      <c r="D177" s="287" t="s">
        <v>61</v>
      </c>
      <c r="E177" s="271" t="s">
        <v>15</v>
      </c>
      <c r="F177" s="271" t="s">
        <v>36</v>
      </c>
      <c r="G177" s="287"/>
      <c r="H177" s="273" t="s">
        <v>427</v>
      </c>
      <c r="I177" s="27" t="s">
        <v>428</v>
      </c>
      <c r="J177" s="5" t="s">
        <v>111</v>
      </c>
      <c r="K177" s="3" t="s">
        <v>429</v>
      </c>
      <c r="L177" s="27" t="str">
        <f>VLOOKUP(K177,[1]CódigosRetorno!$A$2:$B$1996,2,FALSE)</f>
        <v>Si el motivo de traslado es Importacion o Exportacion y no se trata de un traslado total de la DAM o DS, debe indicar el Sustento de la diferencia del Peso bruto total de la carga</v>
      </c>
      <c r="M177" s="5" t="s">
        <v>67</v>
      </c>
      <c r="N177" s="5"/>
      <c r="O177" s="6"/>
    </row>
    <row r="178" spans="1:15" ht="24" x14ac:dyDescent="0.25">
      <c r="A178" s="6"/>
      <c r="B178" s="296"/>
      <c r="C178" s="279"/>
      <c r="D178" s="288"/>
      <c r="E178" s="285"/>
      <c r="F178" s="285"/>
      <c r="G178" s="288"/>
      <c r="H178" s="279"/>
      <c r="I178" s="27" t="s">
        <v>418</v>
      </c>
      <c r="J178" s="5" t="s">
        <v>65</v>
      </c>
      <c r="K178" s="3" t="s">
        <v>430</v>
      </c>
      <c r="L178" s="27" t="str">
        <f>VLOOKUP(K178,[1]CódigosRetorno!$A$2:$B$1996,2,FALSE)</f>
        <v>Si el motivo de traslado no es 08-Importacion ni 09-Exportacion, no debe consignar el campo 'Sustento de la diferencia del Peso bruto total de la carga'</v>
      </c>
      <c r="M178" s="5" t="s">
        <v>67</v>
      </c>
      <c r="N178" s="5"/>
      <c r="O178" s="6"/>
    </row>
    <row r="179" spans="1:15" ht="60" x14ac:dyDescent="0.25">
      <c r="A179" s="6"/>
      <c r="B179" s="297"/>
      <c r="C179" s="274"/>
      <c r="D179" s="291"/>
      <c r="E179" s="272"/>
      <c r="F179" s="272"/>
      <c r="G179" s="291"/>
      <c r="H179" s="274"/>
      <c r="I179" s="27" t="s">
        <v>431</v>
      </c>
      <c r="J179" s="5" t="s">
        <v>111</v>
      </c>
      <c r="K179" s="3" t="s">
        <v>432</v>
      </c>
      <c r="L179" s="27" t="str">
        <f>VLOOKUP(K179,[1]CódigosRetorno!$A$2:$B$1996,2,FALSE)</f>
        <v>El Sustento de la diferencia del Peso bruto total de la carga no cumple con el formato establecido</v>
      </c>
      <c r="M179" s="5" t="s">
        <v>67</v>
      </c>
      <c r="N179" s="5"/>
      <c r="O179" s="6"/>
    </row>
    <row r="180" spans="1:15" ht="12" customHeight="1" x14ac:dyDescent="0.25">
      <c r="A180" s="6"/>
      <c r="B180" s="295">
        <f>B177+1</f>
        <v>26</v>
      </c>
      <c r="C180" s="273" t="s">
        <v>433</v>
      </c>
      <c r="D180" s="287" t="s">
        <v>61</v>
      </c>
      <c r="E180" s="271" t="s">
        <v>5</v>
      </c>
      <c r="F180" s="269" t="s">
        <v>413</v>
      </c>
      <c r="G180" s="269" t="s">
        <v>414</v>
      </c>
      <c r="H180" s="265" t="s">
        <v>434</v>
      </c>
      <c r="I180" s="27" t="s">
        <v>99</v>
      </c>
      <c r="J180" s="5" t="s">
        <v>65</v>
      </c>
      <c r="K180" s="41" t="s">
        <v>435</v>
      </c>
      <c r="L180" s="27" t="str">
        <f>VLOOKUP(K180,[1]CódigosRetorno!$A$2:$B$1996,2,FALSE)</f>
        <v>Es obligatorio ingresar el peso bruto total de la guía</v>
      </c>
      <c r="M180" s="5" t="s">
        <v>67</v>
      </c>
      <c r="N180" s="5"/>
      <c r="O180" s="6"/>
    </row>
    <row r="181" spans="1:15" ht="24" x14ac:dyDescent="0.25">
      <c r="A181" s="6"/>
      <c r="B181" s="296"/>
      <c r="C181" s="279"/>
      <c r="D181" s="288"/>
      <c r="E181" s="285"/>
      <c r="F181" s="269"/>
      <c r="G181" s="269"/>
      <c r="H181" s="265"/>
      <c r="I181" s="27" t="s">
        <v>420</v>
      </c>
      <c r="J181" s="5" t="s">
        <v>65</v>
      </c>
      <c r="K181" s="36" t="s">
        <v>436</v>
      </c>
      <c r="L181" s="27" t="str">
        <f>VLOOKUP(K181,[1]CódigosRetorno!$A$2:$B$1996,2,FALSE)</f>
        <v>GrossWeightMeasure - El dato ingresado no cumple con el formato establecido.</v>
      </c>
      <c r="M181" s="5" t="s">
        <v>67</v>
      </c>
      <c r="N181" s="5"/>
      <c r="O181" s="6"/>
    </row>
    <row r="182" spans="1:15" x14ac:dyDescent="0.25">
      <c r="A182" s="6"/>
      <c r="B182" s="296"/>
      <c r="C182" s="279"/>
      <c r="D182" s="288"/>
      <c r="E182" s="285"/>
      <c r="F182" s="269" t="s">
        <v>19</v>
      </c>
      <c r="G182" s="269" t="s">
        <v>437</v>
      </c>
      <c r="H182" s="265" t="s">
        <v>438</v>
      </c>
      <c r="I182" s="27" t="s">
        <v>439</v>
      </c>
      <c r="J182" s="5" t="s">
        <v>65</v>
      </c>
      <c r="K182" s="41" t="s">
        <v>440</v>
      </c>
      <c r="L182" s="27" t="str">
        <f>VLOOKUP(K182,[1]CódigosRetorno!$A$2:$B$1996,2,FALSE)</f>
        <v>Es obligatorio indicar la unidad de medida del Peso Total de la guía</v>
      </c>
      <c r="M182" s="5" t="s">
        <v>67</v>
      </c>
      <c r="N182" s="5"/>
      <c r="O182" s="6"/>
    </row>
    <row r="183" spans="1:15" ht="39.75" customHeight="1" x14ac:dyDescent="0.25">
      <c r="A183" s="6"/>
      <c r="B183" s="297"/>
      <c r="C183" s="274"/>
      <c r="D183" s="291"/>
      <c r="E183" s="272"/>
      <c r="F183" s="269"/>
      <c r="G183" s="269"/>
      <c r="H183" s="265"/>
      <c r="I183" s="27" t="s">
        <v>441</v>
      </c>
      <c r="J183" s="5" t="s">
        <v>65</v>
      </c>
      <c r="K183" s="36" t="s">
        <v>436</v>
      </c>
      <c r="L183" s="27" t="str">
        <f>VLOOKUP(K183,[1]CódigosRetorno!$A$2:$B$1996,2,FALSE)</f>
        <v>GrossWeightMeasure - El dato ingresado no cumple con el formato establecido.</v>
      </c>
      <c r="M183" s="5" t="s">
        <v>67</v>
      </c>
      <c r="N183" s="5"/>
      <c r="O183" s="6"/>
    </row>
    <row r="184" spans="1:15" ht="36" x14ac:dyDescent="0.25">
      <c r="A184" s="6"/>
      <c r="B184" s="266">
        <f>B180+1</f>
        <v>27</v>
      </c>
      <c r="C184" s="293" t="s">
        <v>442</v>
      </c>
      <c r="D184" s="292" t="s">
        <v>61</v>
      </c>
      <c r="E184" s="269" t="s">
        <v>15</v>
      </c>
      <c r="F184" s="269" t="s">
        <v>443</v>
      </c>
      <c r="G184" s="269" t="s">
        <v>444</v>
      </c>
      <c r="H184" s="265" t="s">
        <v>445</v>
      </c>
      <c r="I184" s="27" t="s">
        <v>446</v>
      </c>
      <c r="J184" s="5" t="s">
        <v>65</v>
      </c>
      <c r="K184" s="3" t="s">
        <v>447</v>
      </c>
      <c r="L184" s="27" t="str">
        <f>VLOOKUP(K184,[1]CódigosRetorno!$A$2:$B$1996,2,FALSE)</f>
        <v>Si el Motivo de traslado es 08-Importacion o 09-Exportacion, debe consignar algun 'Numero de contenedor' o el 'Numero de Bultos o Pallets'</v>
      </c>
      <c r="M184" s="5" t="s">
        <v>67</v>
      </c>
      <c r="N184" s="5"/>
      <c r="O184" s="6"/>
    </row>
    <row r="185" spans="1:15" ht="24" x14ac:dyDescent="0.25">
      <c r="A185" s="6"/>
      <c r="B185" s="266"/>
      <c r="C185" s="293"/>
      <c r="D185" s="292"/>
      <c r="E185" s="269"/>
      <c r="F185" s="269"/>
      <c r="G185" s="269"/>
      <c r="H185" s="265"/>
      <c r="I185" s="27" t="s">
        <v>448</v>
      </c>
      <c r="J185" s="5" t="s">
        <v>111</v>
      </c>
      <c r="K185" s="3" t="s">
        <v>449</v>
      </c>
      <c r="L185" s="27" t="str">
        <f>VLOOKUP(K185,[1]CódigosRetorno!$A$2:$B$1996,2,FALSE)</f>
        <v>El valor ingresado como numero de bultos o pallets no cumple con el estandar</v>
      </c>
      <c r="M185" s="5" t="s">
        <v>67</v>
      </c>
      <c r="N185" s="5"/>
      <c r="O185" s="6"/>
    </row>
    <row r="186" spans="1:15" ht="37.5" customHeight="1" x14ac:dyDescent="0.25">
      <c r="A186" s="6"/>
      <c r="B186" s="295">
        <f>B184+1</f>
        <v>28</v>
      </c>
      <c r="C186" s="293" t="s">
        <v>450</v>
      </c>
      <c r="D186" s="292" t="s">
        <v>61</v>
      </c>
      <c r="E186" s="269" t="s">
        <v>15</v>
      </c>
      <c r="F186" s="269" t="s">
        <v>451</v>
      </c>
      <c r="G186" s="268" t="s">
        <v>58</v>
      </c>
      <c r="H186" s="265" t="s">
        <v>452</v>
      </c>
      <c r="I186" s="27" t="s">
        <v>453</v>
      </c>
      <c r="J186" s="5" t="s">
        <v>65</v>
      </c>
      <c r="K186" s="3" t="s">
        <v>454</v>
      </c>
      <c r="L186" s="27" t="str">
        <f>VLOOKUP(K186,[1]CódigosRetorno!$A$2:$B$1996,2,FALSE)</f>
        <v>Solo se pueden consignar como maximo dos contenedores</v>
      </c>
      <c r="M186" s="5" t="s">
        <v>67</v>
      </c>
      <c r="N186" s="5"/>
      <c r="O186" s="6"/>
    </row>
    <row r="187" spans="1:15" ht="48" x14ac:dyDescent="0.25">
      <c r="A187" s="6"/>
      <c r="B187" s="296"/>
      <c r="C187" s="293"/>
      <c r="D187" s="292"/>
      <c r="E187" s="269"/>
      <c r="F187" s="269"/>
      <c r="G187" s="268"/>
      <c r="H187" s="265"/>
      <c r="I187" s="27" t="s">
        <v>455</v>
      </c>
      <c r="J187" s="5" t="s">
        <v>65</v>
      </c>
      <c r="K187" s="3" t="s">
        <v>456</v>
      </c>
      <c r="L187" s="27" t="str">
        <f>VLOOKUP(K187,[1]CódigosRetorno!$A$2:$B$1996,2,FALSE)</f>
        <v>El Numero de contenedor no debe repetirse</v>
      </c>
      <c r="M187" s="5" t="s">
        <v>67</v>
      </c>
      <c r="N187" s="5"/>
      <c r="O187" s="6"/>
    </row>
    <row r="188" spans="1:15" ht="24" x14ac:dyDescent="0.25">
      <c r="A188" s="6"/>
      <c r="B188" s="297"/>
      <c r="C188" s="293"/>
      <c r="D188" s="292"/>
      <c r="E188" s="269"/>
      <c r="F188" s="269"/>
      <c r="G188" s="268"/>
      <c r="H188" s="265"/>
      <c r="I188" s="27" t="s">
        <v>457</v>
      </c>
      <c r="J188" s="5" t="s">
        <v>111</v>
      </c>
      <c r="K188" s="3" t="s">
        <v>458</v>
      </c>
      <c r="L188" s="27" t="str">
        <f>VLOOKUP(K188,[1]CódigosRetorno!$A$2:$B$1996,2,FALSE)</f>
        <v>Numero de Contenedor - El dato ingresado no cumple con el formato establecido.</v>
      </c>
      <c r="M188" s="5" t="s">
        <v>67</v>
      </c>
      <c r="N188" s="5"/>
      <c r="O188" s="6"/>
    </row>
    <row r="189" spans="1:15" ht="36" x14ac:dyDescent="0.25">
      <c r="A189" s="6"/>
      <c r="B189" s="295">
        <f>B186+1</f>
        <v>29</v>
      </c>
      <c r="C189" s="273" t="s">
        <v>459</v>
      </c>
      <c r="D189" s="280" t="s">
        <v>61</v>
      </c>
      <c r="E189" s="271" t="s">
        <v>15</v>
      </c>
      <c r="F189" s="271" t="s">
        <v>33</v>
      </c>
      <c r="G189" s="287"/>
      <c r="H189" s="273" t="s">
        <v>460</v>
      </c>
      <c r="I189" s="27" t="s">
        <v>461</v>
      </c>
      <c r="J189" s="5" t="s">
        <v>65</v>
      </c>
      <c r="K189" s="3" t="s">
        <v>462</v>
      </c>
      <c r="L189" s="27" t="str">
        <f>VLOOKUP(K189,[1]CódigosRetorno!$A$2:$B$1996,2,FALSE)</f>
        <v>Si existe Numero de contenedor debe indicarse el Numero de precinto</v>
      </c>
      <c r="M189" s="5" t="s">
        <v>67</v>
      </c>
      <c r="N189" s="5"/>
      <c r="O189" s="6"/>
    </row>
    <row r="190" spans="1:15" ht="48" x14ac:dyDescent="0.25">
      <c r="A190" s="6"/>
      <c r="B190" s="296"/>
      <c r="C190" s="279"/>
      <c r="D190" s="281"/>
      <c r="E190" s="285"/>
      <c r="F190" s="285"/>
      <c r="G190" s="288"/>
      <c r="H190" s="279"/>
      <c r="I190" s="33" t="s">
        <v>463</v>
      </c>
      <c r="J190" s="5" t="s">
        <v>65</v>
      </c>
      <c r="K190" s="3" t="s">
        <v>464</v>
      </c>
      <c r="L190" s="27" t="str">
        <f>VLOOKUP(K190,[1]CódigosRetorno!$A$2:$B$1996,2,FALSE)</f>
        <v>El Numero de precinto no debe repetirse</v>
      </c>
      <c r="M190" s="5" t="s">
        <v>67</v>
      </c>
      <c r="N190" s="5"/>
      <c r="O190" s="6"/>
    </row>
    <row r="191" spans="1:15" ht="36" x14ac:dyDescent="0.25">
      <c r="A191" s="6"/>
      <c r="B191" s="297"/>
      <c r="C191" s="274"/>
      <c r="D191" s="284"/>
      <c r="E191" s="272"/>
      <c r="F191" s="272"/>
      <c r="G191" s="291"/>
      <c r="H191" s="274"/>
      <c r="I191" s="33" t="s">
        <v>465</v>
      </c>
      <c r="J191" s="5" t="s">
        <v>111</v>
      </c>
      <c r="K191" s="3" t="s">
        <v>466</v>
      </c>
      <c r="L191" s="27" t="str">
        <f>VLOOKUP(K191,[1]CódigosRetorno!$A$2:$B$1996,2,FALSE)</f>
        <v>Numero Precinto - El dato ingresado no cumple con el formato establecido.</v>
      </c>
      <c r="M191" s="5" t="s">
        <v>67</v>
      </c>
      <c r="N191" s="5"/>
      <c r="O191" s="6"/>
    </row>
    <row r="192" spans="1:15" ht="24" x14ac:dyDescent="0.25">
      <c r="A192" s="6"/>
      <c r="B192" s="62">
        <f>B189+1</f>
        <v>30</v>
      </c>
      <c r="C192" s="198" t="s">
        <v>467</v>
      </c>
      <c r="D192" s="63" t="s">
        <v>61</v>
      </c>
      <c r="E192" s="199" t="s">
        <v>15</v>
      </c>
      <c r="F192" s="199" t="s">
        <v>451</v>
      </c>
      <c r="G192" s="49" t="s">
        <v>58</v>
      </c>
      <c r="H192" s="185" t="s">
        <v>452</v>
      </c>
      <c r="I192" s="27" t="s">
        <v>457</v>
      </c>
      <c r="J192" s="5" t="s">
        <v>111</v>
      </c>
      <c r="K192" s="3" t="s">
        <v>458</v>
      </c>
      <c r="L192" s="27" t="str">
        <f>VLOOKUP(K192,[1]CódigosRetorno!$A$2:$B$1996,2,FALSE)</f>
        <v>Numero de Contenedor - El dato ingresado no cumple con el formato establecido.</v>
      </c>
      <c r="M192" s="5" t="s">
        <v>67</v>
      </c>
      <c r="N192" s="5"/>
      <c r="O192" s="6"/>
    </row>
    <row r="193" spans="1:15" ht="36" x14ac:dyDescent="0.25">
      <c r="A193" s="6"/>
      <c r="B193" s="295">
        <f>B192+1</f>
        <v>31</v>
      </c>
      <c r="C193" s="273" t="s">
        <v>468</v>
      </c>
      <c r="D193" s="280" t="s">
        <v>61</v>
      </c>
      <c r="E193" s="271" t="s">
        <v>15</v>
      </c>
      <c r="F193" s="271" t="s">
        <v>33</v>
      </c>
      <c r="G193" s="287"/>
      <c r="H193" s="273" t="s">
        <v>460</v>
      </c>
      <c r="I193" s="33" t="s">
        <v>469</v>
      </c>
      <c r="J193" s="5" t="s">
        <v>65</v>
      </c>
      <c r="K193" s="3" t="s">
        <v>462</v>
      </c>
      <c r="L193" s="27" t="str">
        <f>VLOOKUP(K193,[1]CódigosRetorno!$A$2:$B$1996,2,FALSE)</f>
        <v>Si existe Numero de contenedor debe indicarse el Numero de precinto</v>
      </c>
      <c r="M193" s="5" t="s">
        <v>67</v>
      </c>
      <c r="N193" s="5"/>
      <c r="O193" s="6"/>
    </row>
    <row r="194" spans="1:15" ht="36" x14ac:dyDescent="0.25">
      <c r="A194" s="6"/>
      <c r="B194" s="296"/>
      <c r="C194" s="279"/>
      <c r="D194" s="281"/>
      <c r="E194" s="285"/>
      <c r="F194" s="285"/>
      <c r="G194" s="288"/>
      <c r="H194" s="279"/>
      <c r="I194" s="33" t="s">
        <v>465</v>
      </c>
      <c r="J194" s="5" t="s">
        <v>111</v>
      </c>
      <c r="K194" s="3" t="s">
        <v>466</v>
      </c>
      <c r="L194" s="27" t="str">
        <f>VLOOKUP(K194,[1]CódigosRetorno!$A$2:$B$1996,2,FALSE)</f>
        <v>Numero Precinto - El dato ingresado no cumple con el formato establecido.</v>
      </c>
      <c r="M194" s="5" t="s">
        <v>67</v>
      </c>
      <c r="N194" s="5"/>
      <c r="O194" s="6"/>
    </row>
    <row r="195" spans="1:15" ht="12" customHeight="1" x14ac:dyDescent="0.25">
      <c r="A195" s="6"/>
      <c r="B195" s="266">
        <f>B193+1</f>
        <v>32</v>
      </c>
      <c r="C195" s="293" t="s">
        <v>470</v>
      </c>
      <c r="D195" s="268" t="s">
        <v>61</v>
      </c>
      <c r="E195" s="269" t="s">
        <v>5</v>
      </c>
      <c r="F195" s="269" t="s">
        <v>30</v>
      </c>
      <c r="G195" s="271" t="s">
        <v>471</v>
      </c>
      <c r="H195" s="273" t="s">
        <v>472</v>
      </c>
      <c r="I195" s="27" t="s">
        <v>64</v>
      </c>
      <c r="J195" s="5" t="s">
        <v>65</v>
      </c>
      <c r="K195" s="36" t="s">
        <v>473</v>
      </c>
      <c r="L195" s="27" t="str">
        <f>VLOOKUP(K195,[1]CódigosRetorno!$A$2:$B$1996,2,FALSE)</f>
        <v>No existe información de modalidad de transporte.</v>
      </c>
      <c r="M195" s="5" t="s">
        <v>67</v>
      </c>
      <c r="N195" s="5"/>
      <c r="O195" s="6"/>
    </row>
    <row r="196" spans="1:15" ht="12" customHeight="1" x14ac:dyDescent="0.25">
      <c r="A196" s="6"/>
      <c r="B196" s="266"/>
      <c r="C196" s="293"/>
      <c r="D196" s="268"/>
      <c r="E196" s="269"/>
      <c r="F196" s="269"/>
      <c r="G196" s="272"/>
      <c r="H196" s="274"/>
      <c r="I196" s="27" t="s">
        <v>396</v>
      </c>
      <c r="J196" s="5" t="s">
        <v>65</v>
      </c>
      <c r="K196" s="36" t="s">
        <v>474</v>
      </c>
      <c r="L196" s="27" t="str">
        <f>VLOOKUP(K196,[1]CódigosRetorno!$A$2:$B$1996,2,FALSE)</f>
        <v>El valor ingresado como modalidad de transporte no es correcto.</v>
      </c>
      <c r="M196" s="5" t="s">
        <v>67</v>
      </c>
      <c r="N196" s="5" t="s">
        <v>475</v>
      </c>
      <c r="O196" s="6"/>
    </row>
    <row r="197" spans="1:15" ht="24" x14ac:dyDescent="0.25">
      <c r="A197" s="6"/>
      <c r="B197" s="266"/>
      <c r="C197" s="293"/>
      <c r="D197" s="268"/>
      <c r="E197" s="269"/>
      <c r="F197" s="269"/>
      <c r="G197" s="188" t="s">
        <v>476</v>
      </c>
      <c r="H197" s="189" t="s">
        <v>114</v>
      </c>
      <c r="I197" s="27" t="s">
        <v>477</v>
      </c>
      <c r="J197" s="36" t="s">
        <v>111</v>
      </c>
      <c r="K197" s="3" t="s">
        <v>116</v>
      </c>
      <c r="L197" s="27" t="str">
        <f>VLOOKUP(K197,[1]CódigosRetorno!$A$2:$B$1996,2,FALSE)</f>
        <v>El dato ingresado como atributo @listName es incorrecto.</v>
      </c>
      <c r="M197" s="5" t="s">
        <v>67</v>
      </c>
      <c r="N197" s="5"/>
      <c r="O197" s="6"/>
    </row>
    <row r="198" spans="1:15" ht="12" customHeight="1" x14ac:dyDescent="0.25">
      <c r="A198" s="6"/>
      <c r="B198" s="266"/>
      <c r="C198" s="293"/>
      <c r="D198" s="268"/>
      <c r="E198" s="269"/>
      <c r="F198" s="269"/>
      <c r="G198" s="188" t="s">
        <v>108</v>
      </c>
      <c r="H198" s="189" t="s">
        <v>109</v>
      </c>
      <c r="I198" s="27" t="s">
        <v>110</v>
      </c>
      <c r="J198" s="3" t="s">
        <v>111</v>
      </c>
      <c r="K198" s="41" t="s">
        <v>112</v>
      </c>
      <c r="L198" s="27" t="str">
        <f>VLOOKUP(K198,[1]CódigosRetorno!$A$2:$B$1996,2,FALSE)</f>
        <v>El dato ingresado como atributo @listAgencyName es incorrecto.</v>
      </c>
      <c r="M198" s="5" t="s">
        <v>67</v>
      </c>
      <c r="N198" s="5"/>
      <c r="O198" s="6"/>
    </row>
    <row r="199" spans="1:15" ht="36" x14ac:dyDescent="0.25">
      <c r="A199" s="6"/>
      <c r="B199" s="266"/>
      <c r="C199" s="293"/>
      <c r="D199" s="268"/>
      <c r="E199" s="269"/>
      <c r="F199" s="269"/>
      <c r="G199" s="188" t="s">
        <v>478</v>
      </c>
      <c r="H199" s="189" t="s">
        <v>118</v>
      </c>
      <c r="I199" s="27" t="s">
        <v>479</v>
      </c>
      <c r="J199" s="3" t="s">
        <v>111</v>
      </c>
      <c r="K199" s="41" t="s">
        <v>120</v>
      </c>
      <c r="L199" s="27" t="str">
        <f>VLOOKUP(K199,[1]CódigosRetorno!$A$2:$B$1996,2,FALSE)</f>
        <v>El dato ingresado como atributo @listURI es incorrecto.</v>
      </c>
      <c r="M199" s="5" t="s">
        <v>67</v>
      </c>
      <c r="N199" s="5"/>
      <c r="O199" s="6"/>
    </row>
    <row r="200" spans="1:15" ht="24" x14ac:dyDescent="0.25">
      <c r="A200" s="6"/>
      <c r="B200" s="266">
        <f>+B195+1</f>
        <v>33</v>
      </c>
      <c r="C200" s="293" t="s">
        <v>480</v>
      </c>
      <c r="D200" s="268" t="s">
        <v>61</v>
      </c>
      <c r="E200" s="269" t="s">
        <v>15</v>
      </c>
      <c r="F200" s="269" t="s">
        <v>16</v>
      </c>
      <c r="G200" s="269" t="s">
        <v>9</v>
      </c>
      <c r="H200" s="265" t="s">
        <v>481</v>
      </c>
      <c r="I200" s="65" t="s">
        <v>482</v>
      </c>
      <c r="J200" s="5" t="s">
        <v>65</v>
      </c>
      <c r="K200" s="41" t="s">
        <v>483</v>
      </c>
      <c r="L200" s="27" t="str">
        <f>VLOOKUP(K200,[1]CódigosRetorno!$A$2:$B$1996,2,FALSE)</f>
        <v>El XML no contiene el tag o no existe informacion de la fecha de inicio de traslado o fecha de entrega del bien al Transportista</v>
      </c>
      <c r="M200" s="5" t="s">
        <v>67</v>
      </c>
      <c r="N200" s="5"/>
      <c r="O200" s="6"/>
    </row>
    <row r="201" spans="1:15" ht="36" x14ac:dyDescent="0.25">
      <c r="A201" s="6"/>
      <c r="B201" s="266"/>
      <c r="C201" s="293"/>
      <c r="D201" s="268"/>
      <c r="E201" s="269"/>
      <c r="F201" s="269"/>
      <c r="G201" s="269"/>
      <c r="H201" s="265"/>
      <c r="I201" s="65" t="s">
        <v>484</v>
      </c>
      <c r="J201" s="5" t="s">
        <v>65</v>
      </c>
      <c r="K201" s="41" t="s">
        <v>483</v>
      </c>
      <c r="L201" s="27" t="str">
        <f>VLOOKUP(K201,[1]CódigosRetorno!$A$2:$B$1996,2,FALSE)</f>
        <v>El XML no contiene el tag o no existe informacion de la fecha de inicio de traslado o fecha de entrega del bien al Transportista</v>
      </c>
      <c r="M201" s="5" t="s">
        <v>67</v>
      </c>
      <c r="N201" s="5"/>
      <c r="O201" s="6"/>
    </row>
    <row r="202" spans="1:15" ht="48" x14ac:dyDescent="0.25">
      <c r="A202" s="6"/>
      <c r="B202" s="266"/>
      <c r="C202" s="293"/>
      <c r="D202" s="268"/>
      <c r="E202" s="269"/>
      <c r="F202" s="269"/>
      <c r="G202" s="269"/>
      <c r="H202" s="265"/>
      <c r="I202" s="65" t="s">
        <v>485</v>
      </c>
      <c r="J202" s="5" t="s">
        <v>65</v>
      </c>
      <c r="K202" s="41" t="s">
        <v>483</v>
      </c>
      <c r="L202" s="27" t="str">
        <f>VLOOKUP(K202,[1]CódigosRetorno!$A$2:$B$1996,2,FALSE)</f>
        <v>El XML no contiene el tag o no existe informacion de la fecha de inicio de traslado o fecha de entrega del bien al Transportista</v>
      </c>
      <c r="M202" s="5" t="s">
        <v>67</v>
      </c>
      <c r="N202" s="5"/>
      <c r="O202" s="6"/>
    </row>
    <row r="203" spans="1:15" ht="24" x14ac:dyDescent="0.25">
      <c r="A203" s="6"/>
      <c r="B203" s="266"/>
      <c r="C203" s="293"/>
      <c r="D203" s="268"/>
      <c r="E203" s="269"/>
      <c r="F203" s="269"/>
      <c r="G203" s="269"/>
      <c r="H203" s="265"/>
      <c r="I203" s="65" t="s">
        <v>486</v>
      </c>
      <c r="J203" s="5" t="s">
        <v>65</v>
      </c>
      <c r="K203" s="3" t="s">
        <v>487</v>
      </c>
      <c r="L203" s="27" t="str">
        <f>VLOOKUP(K203,[1]CódigosRetorno!$A$2:$B$1996,2,FALSE)</f>
        <v>La Fecha de inicio del traslado debe ser mayor o igual a la Fecha de emision del documento</v>
      </c>
      <c r="M203" s="5" t="s">
        <v>67</v>
      </c>
      <c r="N203" s="5"/>
      <c r="O203" s="6"/>
    </row>
    <row r="204" spans="1:15" ht="48" x14ac:dyDescent="0.25">
      <c r="A204" s="6"/>
      <c r="B204" s="266"/>
      <c r="C204" s="293"/>
      <c r="D204" s="268"/>
      <c r="E204" s="269"/>
      <c r="F204" s="269"/>
      <c r="G204" s="269"/>
      <c r="H204" s="265"/>
      <c r="I204" s="65" t="s">
        <v>488</v>
      </c>
      <c r="J204" s="5" t="s">
        <v>65</v>
      </c>
      <c r="K204" s="3" t="s">
        <v>487</v>
      </c>
      <c r="L204" s="27" t="str">
        <f>VLOOKUP(K204,[1]CódigosRetorno!$A$2:$B$1996,2,FALSE)</f>
        <v>La Fecha de inicio del traslado debe ser mayor o igual a la Fecha de emision del documento</v>
      </c>
      <c r="M204" s="5" t="s">
        <v>67</v>
      </c>
      <c r="N204" s="5"/>
      <c r="O204" s="6"/>
    </row>
    <row r="205" spans="1:15" ht="60" x14ac:dyDescent="0.25">
      <c r="A205" s="6"/>
      <c r="B205" s="266"/>
      <c r="C205" s="293"/>
      <c r="D205" s="268"/>
      <c r="E205" s="269"/>
      <c r="F205" s="269"/>
      <c r="G205" s="269"/>
      <c r="H205" s="265"/>
      <c r="I205" s="65" t="s">
        <v>489</v>
      </c>
      <c r="J205" s="5" t="s">
        <v>65</v>
      </c>
      <c r="K205" s="3" t="s">
        <v>487</v>
      </c>
      <c r="L205" s="27" t="str">
        <f>VLOOKUP(K205,[1]CódigosRetorno!$A$2:$B$1996,2,FALSE)</f>
        <v>La Fecha de inicio del traslado debe ser mayor o igual a la Fecha de emision del documento</v>
      </c>
      <c r="M205" s="5" t="s">
        <v>67</v>
      </c>
      <c r="N205" s="5"/>
      <c r="O205" s="6"/>
    </row>
    <row r="206" spans="1:15" ht="24" x14ac:dyDescent="0.25">
      <c r="A206" s="6"/>
      <c r="B206" s="266"/>
      <c r="C206" s="293"/>
      <c r="D206" s="268"/>
      <c r="E206" s="269"/>
      <c r="F206" s="269"/>
      <c r="G206" s="269"/>
      <c r="H206" s="265"/>
      <c r="I206" s="65" t="s">
        <v>490</v>
      </c>
      <c r="J206" s="5" t="s">
        <v>65</v>
      </c>
      <c r="K206" s="41" t="s">
        <v>491</v>
      </c>
      <c r="L206" s="27" t="str">
        <f>VLOOKUP(K206,[1]CódigosRetorno!$A$2:$B$1996,2,FALSE)</f>
        <v>El valor ingresado  como fecha de inicio o fecha de entrega al Transportista no cumple con el estandar (YYYY-MM-DD)</v>
      </c>
      <c r="M206" s="5" t="s">
        <v>67</v>
      </c>
      <c r="N206" s="5"/>
      <c r="O206" s="6"/>
    </row>
    <row r="207" spans="1:15" ht="36" x14ac:dyDescent="0.25">
      <c r="A207" s="6"/>
      <c r="B207" s="266"/>
      <c r="C207" s="293"/>
      <c r="D207" s="268"/>
      <c r="E207" s="269"/>
      <c r="F207" s="269"/>
      <c r="G207" s="269"/>
      <c r="H207" s="265"/>
      <c r="I207" s="65" t="s">
        <v>492</v>
      </c>
      <c r="J207" s="5" t="s">
        <v>65</v>
      </c>
      <c r="K207" s="41" t="s">
        <v>491</v>
      </c>
      <c r="L207" s="27" t="str">
        <f>VLOOKUP(K207,[1]CódigosRetorno!$A$2:$B$1996,2,FALSE)</f>
        <v>El valor ingresado  como fecha de inicio o fecha de entrega al Transportista no cumple con el estandar (YYYY-MM-DD)</v>
      </c>
      <c r="M207" s="5" t="s">
        <v>67</v>
      </c>
      <c r="N207" s="5"/>
      <c r="O207" s="6"/>
    </row>
    <row r="208" spans="1:15" ht="60" x14ac:dyDescent="0.25">
      <c r="A208" s="6"/>
      <c r="B208" s="266"/>
      <c r="C208" s="293"/>
      <c r="D208" s="268"/>
      <c r="E208" s="269"/>
      <c r="F208" s="269"/>
      <c r="G208" s="269"/>
      <c r="H208" s="265"/>
      <c r="I208" s="65" t="s">
        <v>493</v>
      </c>
      <c r="J208" s="5" t="s">
        <v>65</v>
      </c>
      <c r="K208" s="41" t="s">
        <v>491</v>
      </c>
      <c r="L208" s="27" t="str">
        <f>VLOOKUP(K208,[1]CódigosRetorno!$A$2:$B$1996,2,FALSE)</f>
        <v>El valor ingresado  como fecha de inicio o fecha de entrega al Transportista no cumple con el estandar (YYYY-MM-DD)</v>
      </c>
      <c r="M208" s="5" t="s">
        <v>67</v>
      </c>
      <c r="N208" s="5"/>
      <c r="O208" s="6"/>
    </row>
    <row r="209" spans="1:15" ht="48" x14ac:dyDescent="0.25">
      <c r="A209" s="6"/>
      <c r="B209" s="266">
        <f>+B200+1</f>
        <v>34</v>
      </c>
      <c r="C209" s="293" t="s">
        <v>494</v>
      </c>
      <c r="D209" s="268" t="s">
        <v>61</v>
      </c>
      <c r="E209" s="269" t="s">
        <v>15</v>
      </c>
      <c r="F209" s="269" t="s">
        <v>16</v>
      </c>
      <c r="G209" s="269" t="s">
        <v>9</v>
      </c>
      <c r="H209" s="265" t="s">
        <v>481</v>
      </c>
      <c r="I209" s="27" t="s">
        <v>495</v>
      </c>
      <c r="J209" s="5" t="s">
        <v>111</v>
      </c>
      <c r="K209" s="3" t="s">
        <v>496</v>
      </c>
      <c r="L209" s="27" t="str">
        <f>VLOOKUP(K209,[1]CódigosRetorno!$A$2:$B$1996,2,FALSE)</f>
        <v>No ha ingresado el campo de “Fecha de entrega de bienes al transportista” o esta vacio</v>
      </c>
      <c r="M209" s="5" t="s">
        <v>67</v>
      </c>
      <c r="N209" s="5"/>
      <c r="O209" s="6"/>
    </row>
    <row r="210" spans="1:15" ht="60" x14ac:dyDescent="0.25">
      <c r="A210" s="6"/>
      <c r="B210" s="266"/>
      <c r="C210" s="293"/>
      <c r="D210" s="268"/>
      <c r="E210" s="269"/>
      <c r="F210" s="269"/>
      <c r="G210" s="269"/>
      <c r="H210" s="265"/>
      <c r="I210" s="65" t="s">
        <v>497</v>
      </c>
      <c r="J210" s="5" t="s">
        <v>111</v>
      </c>
      <c r="K210" s="3" t="s">
        <v>498</v>
      </c>
      <c r="L210" s="27" t="str">
        <f>VLOOKUP(K210,[1]CódigosRetorno!$A$2:$B$1996,2,FALSE)</f>
        <v>La Fecha de entrega de bienes al transportista debe ser mayor o igual a la Fecha de emision del documento</v>
      </c>
      <c r="M210" s="5" t="s">
        <v>67</v>
      </c>
      <c r="N210" s="5"/>
      <c r="O210" s="6"/>
    </row>
    <row r="211" spans="1:15" ht="60" x14ac:dyDescent="0.25">
      <c r="A211" s="6"/>
      <c r="B211" s="266"/>
      <c r="C211" s="293"/>
      <c r="D211" s="268"/>
      <c r="E211" s="269"/>
      <c r="F211" s="269"/>
      <c r="G211" s="269"/>
      <c r="H211" s="265"/>
      <c r="I211" s="27" t="s">
        <v>499</v>
      </c>
      <c r="J211" s="5" t="s">
        <v>65</v>
      </c>
      <c r="K211" s="41" t="s">
        <v>491</v>
      </c>
      <c r="L211" s="27" t="str">
        <f>VLOOKUP(K211,[1]CódigosRetorno!$A$2:$B$1996,2,FALSE)</f>
        <v>El valor ingresado  como fecha de inicio o fecha de entrega al Transportista no cumple con el estandar (YYYY-MM-DD)</v>
      </c>
      <c r="M211" s="5" t="s">
        <v>67</v>
      </c>
      <c r="N211" s="5"/>
      <c r="O211" s="6"/>
    </row>
    <row r="212" spans="1:15" ht="120" x14ac:dyDescent="0.25">
      <c r="A212" s="6"/>
      <c r="B212" s="295">
        <f>B209+1</f>
        <v>35</v>
      </c>
      <c r="C212" s="298" t="s">
        <v>500</v>
      </c>
      <c r="D212" s="287" t="s">
        <v>61</v>
      </c>
      <c r="E212" s="271" t="s">
        <v>15</v>
      </c>
      <c r="F212" s="271" t="s">
        <v>162</v>
      </c>
      <c r="G212" s="271" t="s">
        <v>501</v>
      </c>
      <c r="H212" s="273" t="s">
        <v>502</v>
      </c>
      <c r="I212" s="29" t="s">
        <v>503</v>
      </c>
      <c r="J212" s="36" t="s">
        <v>65</v>
      </c>
      <c r="K212" s="41" t="s">
        <v>504</v>
      </c>
      <c r="L212" s="27" t="str">
        <f>VLOOKUP(K212,[1]CódigosRetorno!$A$2:$B$1996,2,FALSE)</f>
        <v>El indicador no cumple con el formato establecido</v>
      </c>
      <c r="M212" s="5" t="s">
        <v>67</v>
      </c>
      <c r="N212" s="5"/>
      <c r="O212" s="6"/>
    </row>
    <row r="213" spans="1:15" ht="24" x14ac:dyDescent="0.25">
      <c r="A213" s="6"/>
      <c r="B213" s="297"/>
      <c r="C213" s="299"/>
      <c r="D213" s="291"/>
      <c r="E213" s="272"/>
      <c r="F213" s="272"/>
      <c r="G213" s="272"/>
      <c r="H213" s="274"/>
      <c r="I213" s="27" t="s">
        <v>505</v>
      </c>
      <c r="J213" s="5" t="s">
        <v>65</v>
      </c>
      <c r="K213" s="3" t="s">
        <v>506</v>
      </c>
      <c r="L213" s="27" t="str">
        <f>VLOOKUP(K213,[1]CódigosRetorno!$A$2:$B$1996,2,FALSE)</f>
        <v>El indicador no debe repetirse</v>
      </c>
      <c r="M213" s="5" t="s">
        <v>67</v>
      </c>
      <c r="N213" s="5"/>
      <c r="O213" s="6"/>
    </row>
    <row r="214" spans="1:15" ht="36" x14ac:dyDescent="0.25">
      <c r="A214" s="6"/>
      <c r="B214" s="36">
        <v>36</v>
      </c>
      <c r="C214" s="200" t="s">
        <v>507</v>
      </c>
      <c r="D214" s="5" t="s">
        <v>61</v>
      </c>
      <c r="E214" s="188" t="s">
        <v>15</v>
      </c>
      <c r="F214" s="188" t="s">
        <v>162</v>
      </c>
      <c r="G214" s="190" t="s">
        <v>508</v>
      </c>
      <c r="H214" s="189" t="s">
        <v>502</v>
      </c>
      <c r="I214" s="27" t="s">
        <v>509</v>
      </c>
      <c r="J214" s="5" t="s">
        <v>65</v>
      </c>
      <c r="K214" s="51" t="s">
        <v>506</v>
      </c>
      <c r="L214" s="27" t="str">
        <f>VLOOKUP(K214,[1]CódigosRetorno!$A$2:$B$1996,2,FALSE)</f>
        <v>El indicador no debe repetirse</v>
      </c>
      <c r="M214" s="5" t="s">
        <v>67</v>
      </c>
      <c r="N214" s="5"/>
      <c r="O214" s="6"/>
    </row>
    <row r="215" spans="1:15" ht="36" x14ac:dyDescent="0.25">
      <c r="A215" s="6"/>
      <c r="B215" s="36">
        <v>37</v>
      </c>
      <c r="C215" s="201" t="s">
        <v>510</v>
      </c>
      <c r="D215" s="49" t="s">
        <v>61</v>
      </c>
      <c r="E215" s="199" t="s">
        <v>15</v>
      </c>
      <c r="F215" s="199" t="s">
        <v>162</v>
      </c>
      <c r="G215" s="199" t="s">
        <v>511</v>
      </c>
      <c r="H215" s="185" t="s">
        <v>502</v>
      </c>
      <c r="I215" s="27" t="s">
        <v>512</v>
      </c>
      <c r="J215" s="5" t="s">
        <v>65</v>
      </c>
      <c r="K215" s="51" t="s">
        <v>506</v>
      </c>
      <c r="L215" s="27" t="str">
        <f>VLOOKUP(K215,[1]CódigosRetorno!$A$2:$B$1996,2,FALSE)</f>
        <v>El indicador no debe repetirse</v>
      </c>
      <c r="M215" s="5" t="s">
        <v>67</v>
      </c>
      <c r="N215" s="5"/>
      <c r="O215" s="6"/>
    </row>
    <row r="216" spans="1:15" ht="36" x14ac:dyDescent="0.25">
      <c r="A216" s="6"/>
      <c r="B216" s="36">
        <v>38</v>
      </c>
      <c r="C216" s="200" t="s">
        <v>513</v>
      </c>
      <c r="D216" s="5" t="s">
        <v>61</v>
      </c>
      <c r="E216" s="188" t="s">
        <v>15</v>
      </c>
      <c r="F216" s="188" t="s">
        <v>162</v>
      </c>
      <c r="G216" s="190" t="s">
        <v>514</v>
      </c>
      <c r="H216" s="189" t="s">
        <v>502</v>
      </c>
      <c r="I216" s="27" t="s">
        <v>515</v>
      </c>
      <c r="J216" s="5" t="s">
        <v>65</v>
      </c>
      <c r="K216" s="3" t="s">
        <v>506</v>
      </c>
      <c r="L216" s="27" t="str">
        <f>VLOOKUP(K216,[1]CódigosRetorno!$A$2:$B$1996,2,FALSE)</f>
        <v>El indicador no debe repetirse</v>
      </c>
      <c r="M216" s="5" t="s">
        <v>67</v>
      </c>
      <c r="N216" s="5"/>
      <c r="O216" s="6"/>
    </row>
    <row r="217" spans="1:15" ht="36" x14ac:dyDescent="0.25">
      <c r="A217" s="6"/>
      <c r="B217" s="266">
        <v>39</v>
      </c>
      <c r="C217" s="293" t="s">
        <v>516</v>
      </c>
      <c r="D217" s="268" t="s">
        <v>61</v>
      </c>
      <c r="E217" s="269" t="s">
        <v>15</v>
      </c>
      <c r="F217" s="269" t="s">
        <v>162</v>
      </c>
      <c r="G217" s="269" t="s">
        <v>517</v>
      </c>
      <c r="H217" s="265" t="s">
        <v>502</v>
      </c>
      <c r="I217" s="27" t="s">
        <v>518</v>
      </c>
      <c r="J217" s="5" t="s">
        <v>65</v>
      </c>
      <c r="K217" s="51" t="s">
        <v>519</v>
      </c>
      <c r="L217" s="27" t="str">
        <f>VLOOKUP(K217,[1]CódigosRetorno!$A$2:$B$1996,2,FALSE)</f>
        <v>El Indicador de traslado total de la DAM o la DS solo se consigna cuando el motivo de traslado es 08-Importacion o 09 - Exportacion</v>
      </c>
      <c r="M217" s="5" t="s">
        <v>67</v>
      </c>
      <c r="N217" s="5"/>
      <c r="O217" s="6"/>
    </row>
    <row r="218" spans="1:15" ht="24" x14ac:dyDescent="0.25">
      <c r="A218" s="6"/>
      <c r="B218" s="266"/>
      <c r="C218" s="293"/>
      <c r="D218" s="268"/>
      <c r="E218" s="269"/>
      <c r="F218" s="269"/>
      <c r="G218" s="269"/>
      <c r="H218" s="265"/>
      <c r="I218" s="27" t="s">
        <v>520</v>
      </c>
      <c r="J218" s="5" t="s">
        <v>65</v>
      </c>
      <c r="K218" s="3" t="s">
        <v>506</v>
      </c>
      <c r="L218" s="27" t="str">
        <f>VLOOKUP(K218,[1]CódigosRetorno!$A$2:$B$1996,2,FALSE)</f>
        <v>El indicador no debe repetirse</v>
      </c>
      <c r="M218" s="5" t="s">
        <v>67</v>
      </c>
      <c r="N218" s="5"/>
      <c r="O218" s="6"/>
    </row>
    <row r="219" spans="1:15" x14ac:dyDescent="0.25">
      <c r="A219" s="6"/>
      <c r="B219" s="266"/>
      <c r="C219" s="293"/>
      <c r="D219" s="268"/>
      <c r="E219" s="269"/>
      <c r="F219" s="269"/>
      <c r="G219" s="269"/>
      <c r="H219" s="265"/>
      <c r="I219" s="27" t="s">
        <v>521</v>
      </c>
      <c r="J219" s="5" t="s">
        <v>111</v>
      </c>
      <c r="K219" s="3" t="s">
        <v>522</v>
      </c>
      <c r="L219" s="27" t="str">
        <f>VLOOKUP(K219,[1]CódigosRetorno!$A$2:$B$1996,2,FALSE)</f>
        <v>El control de los saldos pendientes de traslado es responsabilidad del contribuyente</v>
      </c>
      <c r="M219" s="5" t="s">
        <v>67</v>
      </c>
      <c r="N219" s="5"/>
      <c r="O219" s="6"/>
    </row>
    <row r="220" spans="1:15" ht="24" x14ac:dyDescent="0.25">
      <c r="A220" s="6"/>
      <c r="B220" s="295">
        <v>40</v>
      </c>
      <c r="C220" s="273" t="s">
        <v>523</v>
      </c>
      <c r="D220" s="287" t="s">
        <v>61</v>
      </c>
      <c r="E220" s="271" t="s">
        <v>15</v>
      </c>
      <c r="F220" s="271" t="s">
        <v>162</v>
      </c>
      <c r="G220" s="271" t="s">
        <v>524</v>
      </c>
      <c r="H220" s="273" t="s">
        <v>502</v>
      </c>
      <c r="I220" s="27" t="s">
        <v>525</v>
      </c>
      <c r="J220" s="5" t="s">
        <v>65</v>
      </c>
      <c r="K220" s="51" t="s">
        <v>526</v>
      </c>
      <c r="L220" s="27" t="str">
        <f>VLOOKUP(K220,[1]CódigosRetorno!$A$2:$B$1996,2,FALSE)</f>
        <v>Para la modalidad de traslado Privado no debe consignarse el 'Indicador de registro de vehiculos y conductores del transportista'</v>
      </c>
      <c r="M220" s="5" t="s">
        <v>67</v>
      </c>
      <c r="N220" s="5"/>
      <c r="O220" s="6"/>
    </row>
    <row r="221" spans="1:15" ht="48" x14ac:dyDescent="0.25">
      <c r="A221" s="6"/>
      <c r="B221" s="296"/>
      <c r="C221" s="279"/>
      <c r="D221" s="288"/>
      <c r="E221" s="285"/>
      <c r="F221" s="285"/>
      <c r="G221" s="285"/>
      <c r="H221" s="279"/>
      <c r="I221" s="27" t="s">
        <v>527</v>
      </c>
      <c r="J221" s="5" t="s">
        <v>65</v>
      </c>
      <c r="K221" s="51" t="s">
        <v>528</v>
      </c>
      <c r="L221" s="27" t="str">
        <f>VLOOKUP(K221,[1]CódigosRetorno!$A$2:$B$1996,2,FALSE)</f>
        <v>Para la modalidad de traslado Publico no debe consignarse simultaneamente los indicadores 'Indicador de registro de vehiculos y conductores del transportista' e 'Indicador de traslado en vehiculos de categoria M1 o L'</v>
      </c>
      <c r="M221" s="5" t="s">
        <v>67</v>
      </c>
      <c r="N221" s="5"/>
      <c r="O221" s="6"/>
    </row>
    <row r="222" spans="1:15" ht="24" x14ac:dyDescent="0.25">
      <c r="A222" s="6"/>
      <c r="B222" s="297"/>
      <c r="C222" s="274"/>
      <c r="D222" s="291"/>
      <c r="E222" s="272"/>
      <c r="F222" s="272"/>
      <c r="G222" s="272"/>
      <c r="H222" s="274"/>
      <c r="I222" s="27" t="s">
        <v>529</v>
      </c>
      <c r="J222" s="5" t="s">
        <v>65</v>
      </c>
      <c r="K222" s="3" t="s">
        <v>506</v>
      </c>
      <c r="L222" s="27" t="str">
        <f>VLOOKUP(K222,[1]CódigosRetorno!$A$2:$B$1996,2,FALSE)</f>
        <v>El indicador no debe repetirse</v>
      </c>
      <c r="M222" s="5" t="s">
        <v>67</v>
      </c>
      <c r="N222" s="5"/>
      <c r="O222" s="6"/>
    </row>
    <row r="223" spans="1:15" ht="81.75" customHeight="1" x14ac:dyDescent="0.25">
      <c r="A223" s="6"/>
      <c r="B223" s="36">
        <v>41</v>
      </c>
      <c r="C223" s="200" t="s">
        <v>530</v>
      </c>
      <c r="D223" s="5" t="s">
        <v>61</v>
      </c>
      <c r="E223" s="188" t="s">
        <v>15</v>
      </c>
      <c r="F223" s="188" t="s">
        <v>17</v>
      </c>
      <c r="G223" s="190" t="s">
        <v>531</v>
      </c>
      <c r="H223" s="189" t="s">
        <v>532</v>
      </c>
      <c r="I223" s="27" t="s">
        <v>533</v>
      </c>
      <c r="J223" s="5" t="s">
        <v>65</v>
      </c>
      <c r="K223" s="3" t="s">
        <v>534</v>
      </c>
      <c r="L223" s="27" t="str">
        <f>VLOOKUP(K223,[1]CódigosRetorno!$A$2:$B$1996,2,FALSE)</f>
        <v>No debe consignar el el Tipo de evento</v>
      </c>
      <c r="M223" s="5" t="s">
        <v>67</v>
      </c>
      <c r="N223" s="5"/>
      <c r="O223" s="6"/>
    </row>
    <row r="224" spans="1:15" x14ac:dyDescent="0.25">
      <c r="A224" s="6"/>
      <c r="B224" s="38" t="s">
        <v>535</v>
      </c>
      <c r="C224" s="39"/>
      <c r="D224" s="23"/>
      <c r="E224" s="23"/>
      <c r="F224" s="23"/>
      <c r="G224" s="24"/>
      <c r="H224" s="25"/>
      <c r="I224" s="23"/>
      <c r="J224" s="23"/>
      <c r="K224" s="23"/>
      <c r="L224" s="23"/>
      <c r="M224" s="24"/>
      <c r="N224" s="26"/>
      <c r="O224" s="6"/>
    </row>
    <row r="225" spans="1:15" ht="36" x14ac:dyDescent="0.25">
      <c r="A225" s="6"/>
      <c r="B225" s="295">
        <f>B223+1</f>
        <v>42</v>
      </c>
      <c r="C225" s="273" t="s">
        <v>536</v>
      </c>
      <c r="D225" s="287" t="s">
        <v>61</v>
      </c>
      <c r="E225" s="271" t="s">
        <v>15</v>
      </c>
      <c r="F225" s="269" t="s">
        <v>17</v>
      </c>
      <c r="G225" s="300" t="s">
        <v>127</v>
      </c>
      <c r="H225" s="265" t="s">
        <v>537</v>
      </c>
      <c r="I225" s="27" t="s">
        <v>538</v>
      </c>
      <c r="J225" s="5" t="s">
        <v>65</v>
      </c>
      <c r="K225" s="41" t="s">
        <v>539</v>
      </c>
      <c r="L225" s="27" t="str">
        <f>VLOOKUP(K225,[1]CódigosRetorno!$A$2:$B$1996,2,FALSE)</f>
        <v>El XML no contiene el tag o no existe informacion del tipo de documento identidad del transportista.</v>
      </c>
      <c r="M225" s="5" t="s">
        <v>67</v>
      </c>
      <c r="N225" s="5"/>
      <c r="O225" s="6"/>
    </row>
    <row r="226" spans="1:15" ht="36" x14ac:dyDescent="0.25">
      <c r="A226" s="6"/>
      <c r="B226" s="296"/>
      <c r="C226" s="279"/>
      <c r="D226" s="288"/>
      <c r="E226" s="285"/>
      <c r="F226" s="269"/>
      <c r="G226" s="300"/>
      <c r="H226" s="265"/>
      <c r="I226" s="33" t="s">
        <v>540</v>
      </c>
      <c r="J226" s="28" t="s">
        <v>65</v>
      </c>
      <c r="K226" s="30" t="s">
        <v>541</v>
      </c>
      <c r="L226" s="27" t="str">
        <f>VLOOKUP(K226,[1]CódigosRetorno!$A$2:$B$1996,2,FALSE)</f>
        <v>Tipo de documento de identidad debe ser RUC</v>
      </c>
      <c r="M226" s="28" t="s">
        <v>67</v>
      </c>
      <c r="N226" s="28"/>
      <c r="O226" s="6"/>
    </row>
    <row r="227" spans="1:15" ht="24" x14ac:dyDescent="0.25">
      <c r="A227" s="6"/>
      <c r="B227" s="296"/>
      <c r="C227" s="279"/>
      <c r="D227" s="288"/>
      <c r="E227" s="285"/>
      <c r="F227" s="269"/>
      <c r="G227" s="300"/>
      <c r="H227" s="265"/>
      <c r="I227" s="33" t="s">
        <v>542</v>
      </c>
      <c r="J227" s="5" t="s">
        <v>65</v>
      </c>
      <c r="K227" s="3" t="s">
        <v>543</v>
      </c>
      <c r="L227" s="27" t="str">
        <f>VLOOKUP(K227,[1]CódigosRetorno!$A$2:$B$1996,2,FALSE)</f>
        <v>No debe consignar los datos del transportista para una operacion de Transporte Privado</v>
      </c>
      <c r="M227" s="28" t="s">
        <v>67</v>
      </c>
      <c r="N227" s="28"/>
      <c r="O227" s="6"/>
    </row>
    <row r="228" spans="1:15" ht="24" x14ac:dyDescent="0.25">
      <c r="A228" s="6"/>
      <c r="B228" s="296"/>
      <c r="C228" s="279"/>
      <c r="D228" s="288"/>
      <c r="E228" s="285"/>
      <c r="F228" s="268"/>
      <c r="G228" s="190" t="s">
        <v>133</v>
      </c>
      <c r="H228" s="193" t="s">
        <v>134</v>
      </c>
      <c r="I228" s="33" t="s">
        <v>135</v>
      </c>
      <c r="J228" s="5" t="s">
        <v>111</v>
      </c>
      <c r="K228" s="3" t="s">
        <v>136</v>
      </c>
      <c r="L228" s="27" t="str">
        <f>VLOOKUP(K228,[1]CódigosRetorno!$A$2:$B$1996,2,FALSE)</f>
        <v>El dato ingresado como atributo @schemeName es incorrecto.</v>
      </c>
      <c r="M228" s="5" t="s">
        <v>67</v>
      </c>
      <c r="N228" s="5"/>
      <c r="O228" s="6"/>
    </row>
    <row r="229" spans="1:15" ht="24" x14ac:dyDescent="0.25">
      <c r="A229" s="6"/>
      <c r="B229" s="296"/>
      <c r="C229" s="279"/>
      <c r="D229" s="288"/>
      <c r="E229" s="285"/>
      <c r="F229" s="268"/>
      <c r="G229" s="190" t="s">
        <v>108</v>
      </c>
      <c r="H229" s="193" t="s">
        <v>137</v>
      </c>
      <c r="I229" s="33" t="s">
        <v>110</v>
      </c>
      <c r="J229" s="5" t="s">
        <v>111</v>
      </c>
      <c r="K229" s="3" t="s">
        <v>138</v>
      </c>
      <c r="L229" s="27" t="str">
        <f>VLOOKUP(K229,[1]CódigosRetorno!$A$2:$B$1996,2,FALSE)</f>
        <v>El dato ingresado como atributo @schemeAgencyName es incorrecto.</v>
      </c>
      <c r="M229" s="5" t="s">
        <v>67</v>
      </c>
      <c r="N229" s="5"/>
      <c r="O229" s="6"/>
    </row>
    <row r="230" spans="1:15" ht="36" x14ac:dyDescent="0.25">
      <c r="A230" s="6"/>
      <c r="B230" s="296"/>
      <c r="C230" s="279"/>
      <c r="D230" s="288"/>
      <c r="E230" s="285"/>
      <c r="F230" s="268"/>
      <c r="G230" s="190" t="s">
        <v>139</v>
      </c>
      <c r="H230" s="193" t="s">
        <v>140</v>
      </c>
      <c r="I230" s="33" t="s">
        <v>141</v>
      </c>
      <c r="J230" s="5" t="s">
        <v>111</v>
      </c>
      <c r="K230" s="3" t="s">
        <v>142</v>
      </c>
      <c r="L230" s="27" t="str">
        <f>VLOOKUP(K230,[1]CódigosRetorno!$A$2:$B$1996,2,FALSE)</f>
        <v>El dato ingresado como atributo @schemeURI es incorrecto.</v>
      </c>
      <c r="M230" s="5" t="s">
        <v>67</v>
      </c>
      <c r="N230" s="5"/>
      <c r="O230" s="6"/>
    </row>
    <row r="231" spans="1:15" ht="36" x14ac:dyDescent="0.25">
      <c r="A231" s="6"/>
      <c r="B231" s="296"/>
      <c r="C231" s="279"/>
      <c r="D231" s="288"/>
      <c r="E231" s="285"/>
      <c r="F231" s="269" t="s">
        <v>143</v>
      </c>
      <c r="G231" s="282" t="s">
        <v>144</v>
      </c>
      <c r="H231" s="265" t="s">
        <v>544</v>
      </c>
      <c r="I231" s="27" t="s">
        <v>545</v>
      </c>
      <c r="J231" s="5" t="s">
        <v>65</v>
      </c>
      <c r="K231" s="36" t="s">
        <v>546</v>
      </c>
      <c r="L231" s="27" t="str">
        <f>VLOOKUP(K231,[1]CódigosRetorno!$A$2:$B$1996,2,FALSE)</f>
        <v>El XML no contiene el tag o no existe informacion en Numero de Ruc del transportista.</v>
      </c>
      <c r="M231" s="5" t="s">
        <v>67</v>
      </c>
      <c r="N231" s="5"/>
      <c r="O231" s="6"/>
    </row>
    <row r="232" spans="1:15" ht="36" customHeight="1" x14ac:dyDescent="0.25">
      <c r="A232" s="6"/>
      <c r="B232" s="296"/>
      <c r="C232" s="279"/>
      <c r="D232" s="288"/>
      <c r="E232" s="285"/>
      <c r="F232" s="269"/>
      <c r="G232" s="283"/>
      <c r="H232" s="265"/>
      <c r="I232" s="27" t="s">
        <v>547</v>
      </c>
      <c r="J232" s="5" t="s">
        <v>65</v>
      </c>
      <c r="K232" s="41" t="s">
        <v>548</v>
      </c>
      <c r="L232" s="27" t="str">
        <f>VLOOKUP(K232,[1]CódigosRetorno!$A$2:$B$1996,2,FALSE)</f>
        <v>El Numero de RUC del Transportista no existe</v>
      </c>
      <c r="M232" s="5" t="s">
        <v>85</v>
      </c>
      <c r="N232" s="5" t="s">
        <v>150</v>
      </c>
      <c r="O232" s="6"/>
    </row>
    <row r="233" spans="1:15" ht="48" x14ac:dyDescent="0.25">
      <c r="A233" s="6"/>
      <c r="B233" s="296"/>
      <c r="C233" s="279"/>
      <c r="D233" s="288"/>
      <c r="E233" s="285"/>
      <c r="F233" s="269"/>
      <c r="G233" s="283"/>
      <c r="H233" s="265"/>
      <c r="I233" s="27" t="s">
        <v>549</v>
      </c>
      <c r="J233" s="5" t="s">
        <v>65</v>
      </c>
      <c r="K233" s="41" t="s">
        <v>550</v>
      </c>
      <c r="L233" s="27" t="str">
        <f>VLOOKUP(K233,[1]CódigosRetorno!$A$2:$B$1996,2,FALSE)</f>
        <v>El RUC del Transportista no esta activo</v>
      </c>
      <c r="M233" s="5" t="s">
        <v>85</v>
      </c>
      <c r="N233" s="5" t="s">
        <v>150</v>
      </c>
      <c r="O233" s="6"/>
    </row>
    <row r="234" spans="1:15" ht="48" x14ac:dyDescent="0.25">
      <c r="A234" s="6"/>
      <c r="B234" s="296"/>
      <c r="C234" s="279"/>
      <c r="D234" s="288"/>
      <c r="E234" s="285"/>
      <c r="F234" s="269"/>
      <c r="G234" s="283"/>
      <c r="H234" s="265"/>
      <c r="I234" s="27" t="s">
        <v>551</v>
      </c>
      <c r="J234" s="5" t="s">
        <v>65</v>
      </c>
      <c r="K234" s="41" t="s">
        <v>552</v>
      </c>
      <c r="L234" s="27" t="str">
        <f>VLOOKUP(K234,[1]CódigosRetorno!$A$2:$B$1996,2,FALSE)</f>
        <v>El RUC del Transportista no esta habido</v>
      </c>
      <c r="M234" s="5" t="s">
        <v>85</v>
      </c>
      <c r="N234" s="5" t="s">
        <v>150</v>
      </c>
      <c r="O234" s="6"/>
    </row>
    <row r="235" spans="1:15" ht="84" x14ac:dyDescent="0.25">
      <c r="A235" s="6"/>
      <c r="B235" s="296"/>
      <c r="C235" s="279"/>
      <c r="D235" s="288"/>
      <c r="E235" s="285"/>
      <c r="F235" s="269"/>
      <c r="G235" s="283"/>
      <c r="H235" s="265"/>
      <c r="I235" s="27" t="s">
        <v>553</v>
      </c>
      <c r="J235" s="3" t="s">
        <v>65</v>
      </c>
      <c r="K235" s="41" t="s">
        <v>554</v>
      </c>
      <c r="L235" s="27" t="str">
        <f>VLOOKUP(K235,[1]CódigosRetorno!$A$2:$B$1996,2,FALSE)</f>
        <v>El RUC del Transportista no esta afecto a los tributos autorizados</v>
      </c>
      <c r="M235" s="5" t="s">
        <v>85</v>
      </c>
      <c r="N235" s="5" t="s">
        <v>155</v>
      </c>
      <c r="O235" s="6"/>
    </row>
    <row r="236" spans="1:15" ht="48" x14ac:dyDescent="0.25">
      <c r="A236" s="6"/>
      <c r="B236" s="296"/>
      <c r="C236" s="279"/>
      <c r="D236" s="288"/>
      <c r="E236" s="285"/>
      <c r="F236" s="269"/>
      <c r="G236" s="283"/>
      <c r="H236" s="265"/>
      <c r="I236" s="27" t="s">
        <v>555</v>
      </c>
      <c r="J236" s="5" t="s">
        <v>65</v>
      </c>
      <c r="K236" s="41" t="s">
        <v>556</v>
      </c>
      <c r="L236" s="27" t="str">
        <f>VLOOKUP(K236,[1]CódigosRetorno!$A$2:$B$1996,2,FALSE)</f>
        <v>Transportista no debe ser igual al remitente</v>
      </c>
      <c r="M236" s="5" t="s">
        <v>67</v>
      </c>
      <c r="N236" s="5"/>
      <c r="O236" s="6"/>
    </row>
    <row r="237" spans="1:15" ht="24" x14ac:dyDescent="0.25">
      <c r="A237" s="6"/>
      <c r="B237" s="297"/>
      <c r="C237" s="274"/>
      <c r="D237" s="291"/>
      <c r="E237" s="272"/>
      <c r="F237" s="269"/>
      <c r="G237" s="286"/>
      <c r="H237" s="265"/>
      <c r="I237" s="33" t="s">
        <v>557</v>
      </c>
      <c r="J237" s="5" t="s">
        <v>65</v>
      </c>
      <c r="K237" s="3" t="s">
        <v>543</v>
      </c>
      <c r="L237" s="27" t="str">
        <f>VLOOKUP(K237,[1]CódigosRetorno!$A$2:$B$1996,2,FALSE)</f>
        <v>No debe consignar los datos del transportista para una operacion de Transporte Privado</v>
      </c>
      <c r="M237" s="5" t="s">
        <v>67</v>
      </c>
      <c r="N237" s="5"/>
      <c r="O237" s="6"/>
    </row>
    <row r="238" spans="1:15" ht="36" x14ac:dyDescent="0.25">
      <c r="A238" s="6"/>
      <c r="B238" s="266">
        <f>+B225+1</f>
        <v>43</v>
      </c>
      <c r="C238" s="267" t="s">
        <v>558</v>
      </c>
      <c r="D238" s="268" t="s">
        <v>61</v>
      </c>
      <c r="E238" s="269" t="s">
        <v>15</v>
      </c>
      <c r="F238" s="269" t="s">
        <v>36</v>
      </c>
      <c r="G238" s="280"/>
      <c r="H238" s="273" t="s">
        <v>559</v>
      </c>
      <c r="I238" s="27" t="s">
        <v>560</v>
      </c>
      <c r="J238" s="5" t="s">
        <v>65</v>
      </c>
      <c r="K238" s="36" t="s">
        <v>561</v>
      </c>
      <c r="L238" s="27" t="str">
        <f>VLOOKUP(K238,[1]CódigosRetorno!$A$2:$B$1996,2,FALSE)</f>
        <v>El XML no contiene el tag o no existe informacion de Apellido, Nombre o razon social del transportista.</v>
      </c>
      <c r="M238" s="5" t="s">
        <v>67</v>
      </c>
      <c r="N238" s="5"/>
      <c r="O238" s="6"/>
    </row>
    <row r="239" spans="1:15" ht="84" x14ac:dyDescent="0.25">
      <c r="A239" s="6"/>
      <c r="B239" s="266"/>
      <c r="C239" s="267"/>
      <c r="D239" s="268"/>
      <c r="E239" s="269"/>
      <c r="F239" s="269"/>
      <c r="G239" s="281"/>
      <c r="H239" s="279"/>
      <c r="I239" s="27" t="s">
        <v>562</v>
      </c>
      <c r="J239" s="5" t="s">
        <v>111</v>
      </c>
      <c r="K239" s="3" t="s">
        <v>563</v>
      </c>
      <c r="L239" s="27" t="str">
        <f>VLOOKUP(K239,[1]CódigosRetorno!$A$2:$B$1996,2,FALSE)</f>
        <v>cac:CarrierParty: nombre o razon social del transportista no cumple con un formato válido.</v>
      </c>
      <c r="M239" s="5" t="s">
        <v>67</v>
      </c>
      <c r="N239" s="5"/>
      <c r="O239" s="6"/>
    </row>
    <row r="240" spans="1:15" ht="24" x14ac:dyDescent="0.25">
      <c r="A240" s="6"/>
      <c r="B240" s="266"/>
      <c r="C240" s="267"/>
      <c r="D240" s="268"/>
      <c r="E240" s="269"/>
      <c r="F240" s="269"/>
      <c r="G240" s="284"/>
      <c r="H240" s="274"/>
      <c r="I240" s="33" t="s">
        <v>557</v>
      </c>
      <c r="J240" s="5" t="s">
        <v>65</v>
      </c>
      <c r="K240" s="3" t="s">
        <v>543</v>
      </c>
      <c r="L240" s="27" t="str">
        <f>VLOOKUP(K240,[1]CódigosRetorno!$A$2:$B$1996,2,FALSE)</f>
        <v>No debe consignar los datos del transportista para una operacion de Transporte Privado</v>
      </c>
      <c r="M240" s="5" t="s">
        <v>67</v>
      </c>
      <c r="N240" s="5"/>
      <c r="O240" s="6"/>
    </row>
    <row r="241" spans="1:15" ht="36" customHeight="1" x14ac:dyDescent="0.25">
      <c r="A241" s="6"/>
      <c r="B241" s="266">
        <f>B238+1</f>
        <v>44</v>
      </c>
      <c r="C241" s="267" t="s">
        <v>564</v>
      </c>
      <c r="D241" s="268" t="s">
        <v>61</v>
      </c>
      <c r="E241" s="269" t="s">
        <v>15</v>
      </c>
      <c r="F241" s="269" t="s">
        <v>565</v>
      </c>
      <c r="G241" s="280"/>
      <c r="H241" s="265" t="s">
        <v>566</v>
      </c>
      <c r="I241" s="27" t="s">
        <v>567</v>
      </c>
      <c r="J241" s="5" t="s">
        <v>111</v>
      </c>
      <c r="K241" s="3" t="s">
        <v>568</v>
      </c>
      <c r="L241" s="27" t="str">
        <f>VLOOKUP(K241,[1]CódigosRetorno!$A$2:$B$1996,2,FALSE)</f>
        <v>El Numero de Registro MTC del transportista no existe o no contiene informacion</v>
      </c>
      <c r="M241" s="5" t="s">
        <v>67</v>
      </c>
      <c r="N241" s="5"/>
      <c r="O241" s="6"/>
    </row>
    <row r="242" spans="1:15" ht="36" x14ac:dyDescent="0.25">
      <c r="A242" s="6"/>
      <c r="B242" s="266"/>
      <c r="C242" s="267"/>
      <c r="D242" s="268"/>
      <c r="E242" s="269"/>
      <c r="F242" s="269"/>
      <c r="G242" s="281"/>
      <c r="H242" s="265"/>
      <c r="I242" s="27" t="s">
        <v>569</v>
      </c>
      <c r="J242" s="5" t="s">
        <v>111</v>
      </c>
      <c r="K242" s="3" t="s">
        <v>568</v>
      </c>
      <c r="L242" s="27" t="str">
        <f>VLOOKUP(K242,[1]CódigosRetorno!$A$2:$B$1996,2,FALSE)</f>
        <v>El Numero de Registro MTC del transportista no existe o no contiene informacion</v>
      </c>
      <c r="M242" s="5" t="s">
        <v>67</v>
      </c>
      <c r="N242" s="5"/>
      <c r="O242" s="6"/>
    </row>
    <row r="243" spans="1:15" ht="84" x14ac:dyDescent="0.25">
      <c r="A243" s="6"/>
      <c r="B243" s="266"/>
      <c r="C243" s="267"/>
      <c r="D243" s="268"/>
      <c r="E243" s="269"/>
      <c r="F243" s="269"/>
      <c r="G243" s="281"/>
      <c r="H243" s="265"/>
      <c r="I243" s="33" t="s">
        <v>570</v>
      </c>
      <c r="J243" s="5" t="s">
        <v>111</v>
      </c>
      <c r="K243" s="3" t="s">
        <v>571</v>
      </c>
      <c r="L243" s="27" t="str">
        <f>VLOOKUP(K243,[1]CódigosRetorno!$A$2:$B$1996,2,FALSE)</f>
        <v>El Numero de Registro MTC del transportista no cumple con el formato establecido</v>
      </c>
      <c r="M243" s="5" t="s">
        <v>67</v>
      </c>
      <c r="N243" s="5"/>
      <c r="O243" s="6"/>
    </row>
    <row r="244" spans="1:15" ht="36" x14ac:dyDescent="0.25">
      <c r="A244" s="6"/>
      <c r="B244" s="266"/>
      <c r="C244" s="267"/>
      <c r="D244" s="268"/>
      <c r="E244" s="269"/>
      <c r="F244" s="269"/>
      <c r="G244" s="281"/>
      <c r="H244" s="265"/>
      <c r="I244" s="27" t="s">
        <v>572</v>
      </c>
      <c r="J244" s="5" t="s">
        <v>111</v>
      </c>
      <c r="K244" s="3" t="s">
        <v>573</v>
      </c>
      <c r="L244" s="27" t="str">
        <f>VLOOKUP(K244,[1]CódigosRetorno!$A$2:$B$1996,2,FALSE)</f>
        <v>El Numero de Registro MTC del transportista no se encuentra en las bases consultadas</v>
      </c>
      <c r="M244" s="5" t="s">
        <v>85</v>
      </c>
      <c r="N244" s="5" t="s">
        <v>574</v>
      </c>
      <c r="O244" s="6"/>
    </row>
    <row r="245" spans="1:15" ht="24" x14ac:dyDescent="0.25">
      <c r="A245" s="6"/>
      <c r="B245" s="266"/>
      <c r="C245" s="267"/>
      <c r="D245" s="268"/>
      <c r="E245" s="269"/>
      <c r="F245" s="269"/>
      <c r="G245" s="284"/>
      <c r="H245" s="265"/>
      <c r="I245" s="27" t="s">
        <v>575</v>
      </c>
      <c r="J245" s="5" t="s">
        <v>65</v>
      </c>
      <c r="K245" s="3" t="s">
        <v>167</v>
      </c>
      <c r="L245" s="27" t="str">
        <f>VLOOKUP(K245,[1]CódigosRetorno!$A$2:$B$1996,2,FALSE)</f>
        <v>Solo debe consignar un Numero de autorizacion</v>
      </c>
      <c r="M245" s="5" t="s">
        <v>67</v>
      </c>
      <c r="N245" s="5"/>
      <c r="O245" s="6"/>
    </row>
    <row r="246" spans="1:15" ht="72" x14ac:dyDescent="0.25">
      <c r="A246" s="6"/>
      <c r="B246" s="268">
        <f>B241+1</f>
        <v>45</v>
      </c>
      <c r="C246" s="267" t="s">
        <v>576</v>
      </c>
      <c r="D246" s="268" t="s">
        <v>61</v>
      </c>
      <c r="E246" s="269" t="s">
        <v>15</v>
      </c>
      <c r="F246" s="269" t="s">
        <v>162</v>
      </c>
      <c r="G246" s="292"/>
      <c r="H246" s="265" t="s">
        <v>577</v>
      </c>
      <c r="I246" s="27" t="s">
        <v>578</v>
      </c>
      <c r="J246" s="5" t="s">
        <v>111</v>
      </c>
      <c r="K246" s="3" t="s">
        <v>579</v>
      </c>
      <c r="L246" s="27" t="str">
        <f>VLOOKUP(K246,[1]CódigosRetorno!$A$2:$B$1996,2,FALSE)</f>
        <v>El Numero de autorizacion del transportista no cumple con el formato establecido</v>
      </c>
      <c r="M246" s="5" t="s">
        <v>67</v>
      </c>
      <c r="N246" s="5"/>
      <c r="O246" s="6"/>
    </row>
    <row r="247" spans="1:15" ht="24" x14ac:dyDescent="0.25">
      <c r="A247" s="6"/>
      <c r="B247" s="268"/>
      <c r="C247" s="267"/>
      <c r="D247" s="268"/>
      <c r="E247" s="269"/>
      <c r="F247" s="269"/>
      <c r="G247" s="292"/>
      <c r="H247" s="265"/>
      <c r="I247" s="27" t="s">
        <v>166</v>
      </c>
      <c r="J247" s="5" t="s">
        <v>65</v>
      </c>
      <c r="K247" s="3" t="s">
        <v>167</v>
      </c>
      <c r="L247" s="27" t="str">
        <f>VLOOKUP(K247,[1]CódigosRetorno!$A$2:$B$1996,2,FALSE)</f>
        <v>Solo debe consignar un Numero de autorizacion</v>
      </c>
      <c r="M247" s="5" t="s">
        <v>67</v>
      </c>
      <c r="N247" s="5"/>
      <c r="O247" s="6"/>
    </row>
    <row r="248" spans="1:15" ht="24" x14ac:dyDescent="0.25">
      <c r="A248" s="6"/>
      <c r="B248" s="266"/>
      <c r="C248" s="267"/>
      <c r="D248" s="268"/>
      <c r="E248" s="269"/>
      <c r="F248" s="269" t="s">
        <v>30</v>
      </c>
      <c r="G248" s="300" t="s">
        <v>168</v>
      </c>
      <c r="H248" s="265" t="s">
        <v>580</v>
      </c>
      <c r="I248" s="27" t="s">
        <v>173</v>
      </c>
      <c r="J248" s="5" t="s">
        <v>111</v>
      </c>
      <c r="K248" s="3" t="s">
        <v>174</v>
      </c>
      <c r="L248" s="27" t="str">
        <f>VLOOKUP(K248,[1]CódigosRetorno!$A$2:$B$1996,2,FALSE)</f>
        <v>Debe indicar la entidad autorizadora de la autorizacion especial</v>
      </c>
      <c r="M248" s="5" t="s">
        <v>67</v>
      </c>
      <c r="N248" s="5"/>
      <c r="O248" s="6"/>
    </row>
    <row r="249" spans="1:15" ht="24" x14ac:dyDescent="0.25">
      <c r="A249" s="6"/>
      <c r="B249" s="266"/>
      <c r="C249" s="267"/>
      <c r="D249" s="268"/>
      <c r="E249" s="269"/>
      <c r="F249" s="269"/>
      <c r="G249" s="300"/>
      <c r="H249" s="265"/>
      <c r="I249" s="27" t="s">
        <v>581</v>
      </c>
      <c r="J249" s="5" t="s">
        <v>111</v>
      </c>
      <c r="K249" s="3" t="s">
        <v>171</v>
      </c>
      <c r="L249" s="27" t="str">
        <f>VLOOKUP(K249,[1]CódigosRetorno!$A$2:$B$1996,2,FALSE)</f>
        <v>El Codigo de entidad autorizadora es invalido</v>
      </c>
      <c r="M249" s="5" t="s">
        <v>67</v>
      </c>
      <c r="N249" s="37" t="s">
        <v>172</v>
      </c>
      <c r="O249" s="6"/>
    </row>
    <row r="250" spans="1:15" ht="24" x14ac:dyDescent="0.25">
      <c r="A250" s="6"/>
      <c r="B250" s="266"/>
      <c r="C250" s="267"/>
      <c r="D250" s="268"/>
      <c r="E250" s="269"/>
      <c r="F250" s="269"/>
      <c r="G250" s="300"/>
      <c r="H250" s="265"/>
      <c r="I250" s="27" t="s">
        <v>582</v>
      </c>
      <c r="J250" s="5" t="s">
        <v>111</v>
      </c>
      <c r="K250" s="3" t="s">
        <v>176</v>
      </c>
      <c r="L250" s="27" t="str">
        <f>VLOOKUP(K250,[1]CódigosRetorno!$A$2:$B$1996,2,FALSE)</f>
        <v>SI existe el Codigo de entidad autorizadora, debe consignar el Numero de autorizacion especial de la empresa</v>
      </c>
      <c r="M250" s="5" t="s">
        <v>67</v>
      </c>
      <c r="N250" s="5"/>
      <c r="O250" s="6"/>
    </row>
    <row r="251" spans="1:15" ht="24" x14ac:dyDescent="0.25">
      <c r="A251" s="6"/>
      <c r="B251" s="266"/>
      <c r="C251" s="267"/>
      <c r="D251" s="268"/>
      <c r="E251" s="269"/>
      <c r="F251" s="268"/>
      <c r="G251" s="188" t="s">
        <v>177</v>
      </c>
      <c r="H251" s="189" t="s">
        <v>134</v>
      </c>
      <c r="I251" s="33" t="s">
        <v>178</v>
      </c>
      <c r="J251" s="5" t="s">
        <v>111</v>
      </c>
      <c r="K251" s="3" t="s">
        <v>136</v>
      </c>
      <c r="L251" s="27" t="str">
        <f>VLOOKUP(K251,[1]CódigosRetorno!$A$2:$B$1996,2,FALSE)</f>
        <v>El dato ingresado como atributo @schemeName es incorrecto.</v>
      </c>
      <c r="M251" s="5" t="s">
        <v>67</v>
      </c>
      <c r="N251" s="5"/>
      <c r="O251" s="6"/>
    </row>
    <row r="252" spans="1:15" ht="24" x14ac:dyDescent="0.25">
      <c r="A252" s="6"/>
      <c r="B252" s="266"/>
      <c r="C252" s="267"/>
      <c r="D252" s="268"/>
      <c r="E252" s="269"/>
      <c r="F252" s="268"/>
      <c r="G252" s="188" t="s">
        <v>108</v>
      </c>
      <c r="H252" s="189" t="s">
        <v>137</v>
      </c>
      <c r="I252" s="33" t="s">
        <v>110</v>
      </c>
      <c r="J252" s="5" t="s">
        <v>111</v>
      </c>
      <c r="K252" s="3" t="s">
        <v>138</v>
      </c>
      <c r="L252" s="27" t="str">
        <f>VLOOKUP(K252,[1]CódigosRetorno!$A$2:$B$1996,2,FALSE)</f>
        <v>El dato ingresado como atributo @schemeAgencyName es incorrecto.</v>
      </c>
      <c r="M252" s="5" t="s">
        <v>67</v>
      </c>
      <c r="N252" s="5"/>
      <c r="O252" s="6"/>
    </row>
    <row r="253" spans="1:15" x14ac:dyDescent="0.25">
      <c r="A253" s="6"/>
      <c r="B253" s="38" t="s">
        <v>583</v>
      </c>
      <c r="C253" s="39"/>
      <c r="D253" s="23"/>
      <c r="E253" s="23"/>
      <c r="F253" s="23"/>
      <c r="G253" s="24"/>
      <c r="H253" s="25"/>
      <c r="I253" s="23"/>
      <c r="J253" s="23"/>
      <c r="K253" s="23"/>
      <c r="L253" s="23"/>
      <c r="M253" s="24"/>
      <c r="N253" s="26"/>
      <c r="O253" s="6"/>
    </row>
    <row r="254" spans="1:15" s="66" customFormat="1" ht="36" x14ac:dyDescent="0.25">
      <c r="A254" s="6"/>
      <c r="B254" s="266">
        <f>B246+1</f>
        <v>46</v>
      </c>
      <c r="C254" s="267" t="s">
        <v>584</v>
      </c>
      <c r="D254" s="268" t="s">
        <v>61</v>
      </c>
      <c r="E254" s="269" t="s">
        <v>15</v>
      </c>
      <c r="F254" s="269" t="s">
        <v>25</v>
      </c>
      <c r="G254" s="292"/>
      <c r="H254" s="265" t="s">
        <v>585</v>
      </c>
      <c r="I254" s="27" t="s">
        <v>586</v>
      </c>
      <c r="J254" s="5" t="s">
        <v>65</v>
      </c>
      <c r="K254" s="36" t="s">
        <v>587</v>
      </c>
      <c r="L254" s="27" t="str">
        <f>VLOOKUP(K254,[1]CódigosRetorno!$A$2:$B$1996,2,FALSE)</f>
        <v>El XML no contiene el tag o no existe informacion del Numero de placa del vehículo.</v>
      </c>
      <c r="M254" s="5" t="s">
        <v>67</v>
      </c>
      <c r="N254" s="5"/>
    </row>
    <row r="255" spans="1:15" s="66" customFormat="1" ht="60" x14ac:dyDescent="0.25">
      <c r="A255" s="6"/>
      <c r="B255" s="266"/>
      <c r="C255" s="267"/>
      <c r="D255" s="268"/>
      <c r="E255" s="269"/>
      <c r="F255" s="269"/>
      <c r="G255" s="292"/>
      <c r="H255" s="265"/>
      <c r="I255" s="27" t="s">
        <v>588</v>
      </c>
      <c r="J255" s="5" t="s">
        <v>65</v>
      </c>
      <c r="K255" s="41" t="s">
        <v>589</v>
      </c>
      <c r="L255" s="27" t="str">
        <f>VLOOKUP(K255,[1]CódigosRetorno!$A$2:$B$1996,2,FALSE)</f>
        <v>No debe ingresar informacion de vehiculo principal</v>
      </c>
      <c r="M255" s="5" t="s">
        <v>67</v>
      </c>
      <c r="N255" s="5"/>
    </row>
    <row r="256" spans="1:15" s="66" customFormat="1" ht="60" x14ac:dyDescent="0.25">
      <c r="A256" s="6"/>
      <c r="B256" s="266"/>
      <c r="C256" s="267"/>
      <c r="D256" s="268"/>
      <c r="E256" s="269"/>
      <c r="F256" s="269"/>
      <c r="G256" s="292"/>
      <c r="H256" s="265"/>
      <c r="I256" s="27" t="s">
        <v>590</v>
      </c>
      <c r="J256" s="5" t="s">
        <v>65</v>
      </c>
      <c r="K256" s="36" t="s">
        <v>587</v>
      </c>
      <c r="L256" s="27" t="str">
        <f>VLOOKUP(K256,[1]CódigosRetorno!$A$2:$B$1996,2,FALSE)</f>
        <v>El XML no contiene el tag o no existe informacion del Numero de placa del vehículo.</v>
      </c>
      <c r="M256" s="5" t="s">
        <v>67</v>
      </c>
      <c r="N256" s="5"/>
    </row>
    <row r="257" spans="1:15" s="66" customFormat="1" ht="48" x14ac:dyDescent="0.25">
      <c r="A257" s="6"/>
      <c r="B257" s="266"/>
      <c r="C257" s="267"/>
      <c r="D257" s="268"/>
      <c r="E257" s="269"/>
      <c r="F257" s="269"/>
      <c r="G257" s="292"/>
      <c r="H257" s="265"/>
      <c r="I257" s="33" t="s">
        <v>591</v>
      </c>
      <c r="J257" s="5" t="s">
        <v>65</v>
      </c>
      <c r="K257" s="36" t="s">
        <v>592</v>
      </c>
      <c r="L257" s="27" t="str">
        <f>VLOOKUP(K257,[1]CódigosRetorno!$A$2:$B$1996,2,FALSE)</f>
        <v>Numero de placa del vehículo - El dato ingresado no cumple con el formato establecido.</v>
      </c>
      <c r="M257" s="5" t="s">
        <v>67</v>
      </c>
      <c r="N257" s="5"/>
    </row>
    <row r="258" spans="1:15" s="66" customFormat="1" ht="24" x14ac:dyDescent="0.25">
      <c r="A258" s="6"/>
      <c r="B258" s="266"/>
      <c r="C258" s="267"/>
      <c r="D258" s="268"/>
      <c r="E258" s="269"/>
      <c r="F258" s="269"/>
      <c r="G258" s="292"/>
      <c r="H258" s="265"/>
      <c r="I258" s="27" t="s">
        <v>593</v>
      </c>
      <c r="J258" s="5" t="s">
        <v>111</v>
      </c>
      <c r="K258" s="3" t="s">
        <v>594</v>
      </c>
      <c r="L258" s="27" t="str">
        <f>VLOOKUP(K258,[1]CódigosRetorno!$A$2:$B$1996,2,FALSE)</f>
        <v>El Numero de placa no se encuentra en las bases consultadas</v>
      </c>
      <c r="M258" s="5" t="s">
        <v>85</v>
      </c>
      <c r="N258" s="5" t="s">
        <v>595</v>
      </c>
    </row>
    <row r="259" spans="1:15" s="66" customFormat="1" ht="56.25" customHeight="1" x14ac:dyDescent="0.25">
      <c r="A259" s="6"/>
      <c r="B259" s="266">
        <f>B254+1</f>
        <v>47</v>
      </c>
      <c r="C259" s="267" t="s">
        <v>596</v>
      </c>
      <c r="D259" s="268" t="s">
        <v>61</v>
      </c>
      <c r="E259" s="269" t="s">
        <v>15</v>
      </c>
      <c r="F259" s="269" t="s">
        <v>18</v>
      </c>
      <c r="G259" s="292"/>
      <c r="H259" s="265" t="s">
        <v>597</v>
      </c>
      <c r="I259" s="27" t="s">
        <v>598</v>
      </c>
      <c r="J259" s="5" t="s">
        <v>111</v>
      </c>
      <c r="K259" s="3" t="s">
        <v>599</v>
      </c>
      <c r="L259" s="27" t="str">
        <f>VLOOKUP(K259,[1]CódigosRetorno!$A$2:$B$1996,2,FALSE)</f>
        <v>No ha consignado el Numero de Constancia de Inscripcion Vehicular o Certificado de Habilitacion Vehicular o la TUC (fisica o electronica)</v>
      </c>
      <c r="M259" s="5" t="s">
        <v>67</v>
      </c>
      <c r="N259" s="5"/>
    </row>
    <row r="260" spans="1:15" s="66" customFormat="1" ht="36" x14ac:dyDescent="0.25">
      <c r="A260" s="6"/>
      <c r="B260" s="266"/>
      <c r="C260" s="267"/>
      <c r="D260" s="268"/>
      <c r="E260" s="269"/>
      <c r="F260" s="269"/>
      <c r="G260" s="292"/>
      <c r="H260" s="265"/>
      <c r="I260" s="27" t="s">
        <v>600</v>
      </c>
      <c r="J260" s="5" t="s">
        <v>65</v>
      </c>
      <c r="K260" s="3" t="s">
        <v>601</v>
      </c>
      <c r="L260" s="27" t="str">
        <f>VLOOKUP(K260,[1]CódigosRetorno!$A$2:$B$1996,2,FALSE)</f>
        <v>No debe ingresar informacion adicional de vehiculos (registros y/o autorizaciones)</v>
      </c>
      <c r="M260" s="5" t="s">
        <v>67</v>
      </c>
      <c r="N260" s="5"/>
    </row>
    <row r="261" spans="1:15" s="66" customFormat="1" ht="60" x14ac:dyDescent="0.25">
      <c r="A261" s="6"/>
      <c r="B261" s="266"/>
      <c r="C261" s="267"/>
      <c r="D261" s="268"/>
      <c r="E261" s="269"/>
      <c r="F261" s="269"/>
      <c r="G261" s="292"/>
      <c r="H261" s="265"/>
      <c r="I261" s="33" t="s">
        <v>602</v>
      </c>
      <c r="J261" s="5" t="s">
        <v>65</v>
      </c>
      <c r="K261" s="3" t="s">
        <v>603</v>
      </c>
      <c r="L261" s="27" t="str">
        <f>VLOOKUP(K261,[1]CódigosRetorno!$A$2:$B$1996,2,FALSE)</f>
        <v>El Numero de Constancia de Inscripcion Vehicular o Certificado de Habilitacion Vehicular o la TUC (fisica o electronica) no cumple con el formato establecido</v>
      </c>
      <c r="M261" s="5" t="s">
        <v>67</v>
      </c>
      <c r="N261" s="5"/>
    </row>
    <row r="262" spans="1:15" s="66" customFormat="1" ht="36" x14ac:dyDescent="0.25">
      <c r="A262" s="6"/>
      <c r="B262" s="266"/>
      <c r="C262" s="267"/>
      <c r="D262" s="268"/>
      <c r="E262" s="269"/>
      <c r="F262" s="269"/>
      <c r="G262" s="292"/>
      <c r="H262" s="265"/>
      <c r="I262" s="27" t="s">
        <v>593</v>
      </c>
      <c r="J262" s="5" t="s">
        <v>111</v>
      </c>
      <c r="K262" s="3" t="s">
        <v>604</v>
      </c>
      <c r="L262" s="27" t="str">
        <f>VLOOKUP(K262,[1]CódigosRetorno!$A$2:$B$1996,2,FALSE)</f>
        <v>El Numero de Constancia de Inscripcion Vehicular o Certificado de Habilitacion Vehicular o la TUC (fisica o electronica) no se encuentra en las bases consultadas</v>
      </c>
      <c r="M262" s="5" t="s">
        <v>85</v>
      </c>
      <c r="N262" s="5" t="s">
        <v>574</v>
      </c>
    </row>
    <row r="263" spans="1:15" ht="24" x14ac:dyDescent="0.25">
      <c r="A263" s="6"/>
      <c r="B263" s="268">
        <f>B259+1</f>
        <v>48</v>
      </c>
      <c r="C263" s="267" t="s">
        <v>605</v>
      </c>
      <c r="D263" s="268" t="s">
        <v>61</v>
      </c>
      <c r="E263" s="269" t="s">
        <v>15</v>
      </c>
      <c r="F263" s="269" t="s">
        <v>162</v>
      </c>
      <c r="G263" s="292"/>
      <c r="H263" s="265" t="s">
        <v>606</v>
      </c>
      <c r="I263" s="27" t="s">
        <v>607</v>
      </c>
      <c r="J263" s="5" t="s">
        <v>65</v>
      </c>
      <c r="K263" s="3" t="s">
        <v>601</v>
      </c>
      <c r="L263" s="27" t="str">
        <f>VLOOKUP(K263,[1]CódigosRetorno!$A$2:$B$1996,2,FALSE)</f>
        <v>No debe ingresar informacion adicional de vehiculos (registros y/o autorizaciones)</v>
      </c>
      <c r="M263" s="5" t="s">
        <v>67</v>
      </c>
      <c r="N263" s="5"/>
      <c r="O263" s="6"/>
    </row>
    <row r="264" spans="1:15" ht="60" x14ac:dyDescent="0.25">
      <c r="A264" s="6"/>
      <c r="B264" s="268"/>
      <c r="C264" s="267"/>
      <c r="D264" s="268"/>
      <c r="E264" s="269"/>
      <c r="F264" s="269"/>
      <c r="G264" s="292"/>
      <c r="H264" s="265"/>
      <c r="I264" s="27" t="s">
        <v>608</v>
      </c>
      <c r="J264" s="5" t="s">
        <v>65</v>
      </c>
      <c r="K264" s="3" t="s">
        <v>601</v>
      </c>
      <c r="L264" s="27" t="str">
        <f>VLOOKUP(K264,[1]CódigosRetorno!$A$2:$B$1996,2,FALSE)</f>
        <v>No debe ingresar informacion adicional de vehiculos (registros y/o autorizaciones)</v>
      </c>
      <c r="M264" s="5" t="s">
        <v>67</v>
      </c>
      <c r="N264" s="5"/>
      <c r="O264" s="6"/>
    </row>
    <row r="265" spans="1:15" ht="72" x14ac:dyDescent="0.25">
      <c r="A265" s="6"/>
      <c r="B265" s="268"/>
      <c r="C265" s="267"/>
      <c r="D265" s="268"/>
      <c r="E265" s="269"/>
      <c r="F265" s="269"/>
      <c r="G265" s="292"/>
      <c r="H265" s="265"/>
      <c r="I265" s="27" t="s">
        <v>578</v>
      </c>
      <c r="J265" s="5" t="s">
        <v>111</v>
      </c>
      <c r="K265" s="3" t="s">
        <v>609</v>
      </c>
      <c r="L265" s="27" t="str">
        <f>VLOOKUP(K265,[1]CódigosRetorno!$A$2:$B$1996,2,FALSE)</f>
        <v>El Numero de autorizacion del vehiculo no cumple con el formato establecido</v>
      </c>
      <c r="M265" s="5" t="s">
        <v>67</v>
      </c>
      <c r="N265" s="5"/>
      <c r="O265" s="6"/>
    </row>
    <row r="266" spans="1:15" ht="24" x14ac:dyDescent="0.25">
      <c r="A266" s="6"/>
      <c r="B266" s="268"/>
      <c r="C266" s="267"/>
      <c r="D266" s="268"/>
      <c r="E266" s="269"/>
      <c r="F266" s="269"/>
      <c r="G266" s="292"/>
      <c r="H266" s="265"/>
      <c r="I266" s="27" t="s">
        <v>610</v>
      </c>
      <c r="J266" s="5" t="s">
        <v>65</v>
      </c>
      <c r="K266" s="3" t="s">
        <v>611</v>
      </c>
      <c r="L266" s="27" t="str">
        <f>VLOOKUP(K266,[1]CódigosRetorno!$A$2:$B$1996,2,FALSE)</f>
        <v>Solo debe consignar un Numero de autorizacion del vehiculo</v>
      </c>
      <c r="M266" s="5" t="s">
        <v>67</v>
      </c>
      <c r="N266" s="5"/>
      <c r="O266" s="6"/>
    </row>
    <row r="267" spans="1:15" ht="24" x14ac:dyDescent="0.25">
      <c r="A267" s="6"/>
      <c r="B267" s="266"/>
      <c r="C267" s="267"/>
      <c r="D267" s="268"/>
      <c r="E267" s="269"/>
      <c r="F267" s="269" t="s">
        <v>30</v>
      </c>
      <c r="G267" s="300" t="s">
        <v>168</v>
      </c>
      <c r="H267" s="265" t="s">
        <v>612</v>
      </c>
      <c r="I267" s="27" t="s">
        <v>173</v>
      </c>
      <c r="J267" s="5" t="s">
        <v>111</v>
      </c>
      <c r="K267" s="3" t="s">
        <v>613</v>
      </c>
      <c r="L267" s="27" t="str">
        <f>VLOOKUP(K267,[1]CódigosRetorno!$A$2:$B$1996,2,FALSE)</f>
        <v>Debe indicar la entidad autorizadora del vehiculo</v>
      </c>
      <c r="M267" s="5" t="s">
        <v>67</v>
      </c>
      <c r="N267" s="5"/>
      <c r="O267" s="6"/>
    </row>
    <row r="268" spans="1:15" ht="24" x14ac:dyDescent="0.25">
      <c r="A268" s="6"/>
      <c r="B268" s="266"/>
      <c r="C268" s="267"/>
      <c r="D268" s="268"/>
      <c r="E268" s="269"/>
      <c r="F268" s="269"/>
      <c r="G268" s="300"/>
      <c r="H268" s="265"/>
      <c r="I268" s="27" t="s">
        <v>170</v>
      </c>
      <c r="J268" s="5" t="s">
        <v>111</v>
      </c>
      <c r="K268" s="3" t="s">
        <v>614</v>
      </c>
      <c r="L268" s="27" t="str">
        <f>VLOOKUP(K268,[1]CódigosRetorno!$A$2:$B$1996,2,FALSE)</f>
        <v>El Codigo de entidad autorizadora del vehiculo no corresponde a un valor esperado</v>
      </c>
      <c r="M268" s="5" t="s">
        <v>67</v>
      </c>
      <c r="N268" s="37" t="s">
        <v>172</v>
      </c>
      <c r="O268" s="6"/>
    </row>
    <row r="269" spans="1:15" ht="24" x14ac:dyDescent="0.25">
      <c r="A269" s="6"/>
      <c r="B269" s="266"/>
      <c r="C269" s="267"/>
      <c r="D269" s="268"/>
      <c r="E269" s="269"/>
      <c r="F269" s="269"/>
      <c r="G269" s="300"/>
      <c r="H269" s="265"/>
      <c r="I269" s="27" t="s">
        <v>615</v>
      </c>
      <c r="J269" s="5" t="s">
        <v>111</v>
      </c>
      <c r="K269" s="3" t="s">
        <v>616</v>
      </c>
      <c r="L269" s="27" t="str">
        <f>VLOOKUP(K269,[1]CódigosRetorno!$A$2:$B$1996,2,FALSE)</f>
        <v>Si existe el Codigo de entidad autorizadora, debe consignar el Numero de autorizacion especial del vehiculo</v>
      </c>
      <c r="M269" s="5" t="s">
        <v>67</v>
      </c>
      <c r="N269" s="5"/>
      <c r="O269" s="6"/>
    </row>
    <row r="270" spans="1:15" ht="24" x14ac:dyDescent="0.25">
      <c r="A270" s="6"/>
      <c r="B270" s="266"/>
      <c r="C270" s="267"/>
      <c r="D270" s="268"/>
      <c r="E270" s="269"/>
      <c r="F270" s="269"/>
      <c r="G270" s="188" t="s">
        <v>177</v>
      </c>
      <c r="H270" s="189" t="s">
        <v>134</v>
      </c>
      <c r="I270" s="33" t="s">
        <v>178</v>
      </c>
      <c r="J270" s="5" t="s">
        <v>111</v>
      </c>
      <c r="K270" s="3" t="s">
        <v>136</v>
      </c>
      <c r="L270" s="27" t="str">
        <f>VLOOKUP(K270,[1]CódigosRetorno!$A$2:$B$1996,2,FALSE)</f>
        <v>El dato ingresado como atributo @schemeName es incorrecto.</v>
      </c>
      <c r="M270" s="5" t="s">
        <v>67</v>
      </c>
      <c r="N270" s="5"/>
      <c r="O270" s="6"/>
    </row>
    <row r="271" spans="1:15" ht="24" x14ac:dyDescent="0.25">
      <c r="A271" s="6"/>
      <c r="B271" s="266"/>
      <c r="C271" s="267"/>
      <c r="D271" s="268"/>
      <c r="E271" s="269"/>
      <c r="F271" s="269"/>
      <c r="G271" s="188" t="s">
        <v>108</v>
      </c>
      <c r="H271" s="189" t="s">
        <v>137</v>
      </c>
      <c r="I271" s="33" t="s">
        <v>110</v>
      </c>
      <c r="J271" s="5" t="s">
        <v>111</v>
      </c>
      <c r="K271" s="3" t="s">
        <v>138</v>
      </c>
      <c r="L271" s="27" t="str">
        <f>VLOOKUP(K271,[1]CódigosRetorno!$A$2:$B$1996,2,FALSE)</f>
        <v>El dato ingresado como atributo @schemeAgencyName es incorrecto.</v>
      </c>
      <c r="M271" s="5" t="s">
        <v>67</v>
      </c>
      <c r="N271" s="5"/>
      <c r="O271" s="6"/>
    </row>
    <row r="272" spans="1:15" x14ac:dyDescent="0.25">
      <c r="A272" s="6"/>
      <c r="B272" s="38" t="s">
        <v>617</v>
      </c>
      <c r="C272" s="39"/>
      <c r="D272" s="23"/>
      <c r="E272" s="23"/>
      <c r="F272" s="23"/>
      <c r="G272" s="24"/>
      <c r="H272" s="25"/>
      <c r="I272" s="23"/>
      <c r="J272" s="23"/>
      <c r="K272" s="23"/>
      <c r="L272" s="23"/>
      <c r="M272" s="23"/>
      <c r="N272" s="26"/>
      <c r="O272" s="6"/>
    </row>
    <row r="273" spans="1:15" ht="24" customHeight="1" x14ac:dyDescent="0.25">
      <c r="A273" s="6"/>
      <c r="B273" s="266">
        <f>B263+1</f>
        <v>49</v>
      </c>
      <c r="C273" s="267" t="s">
        <v>584</v>
      </c>
      <c r="D273" s="268" t="s">
        <v>61</v>
      </c>
      <c r="E273" s="269" t="s">
        <v>15</v>
      </c>
      <c r="F273" s="269" t="s">
        <v>25</v>
      </c>
      <c r="G273" s="292"/>
      <c r="H273" s="265" t="s">
        <v>618</v>
      </c>
      <c r="I273" s="27" t="s">
        <v>619</v>
      </c>
      <c r="J273" s="5" t="s">
        <v>111</v>
      </c>
      <c r="K273" s="3" t="s">
        <v>620</v>
      </c>
      <c r="L273" s="27" t="str">
        <f>VLOOKUP(K273,[1]CódigosRetorno!$A$2:$B$1996,2,FALSE)</f>
        <v>Solo corresponde consignar hasta dos vehiculos secundarios</v>
      </c>
      <c r="M273" s="5" t="s">
        <v>67</v>
      </c>
      <c r="N273" s="5"/>
      <c r="O273" s="6"/>
    </row>
    <row r="274" spans="1:15" ht="24" customHeight="1" x14ac:dyDescent="0.25">
      <c r="A274" s="6"/>
      <c r="B274" s="266"/>
      <c r="C274" s="267"/>
      <c r="D274" s="268"/>
      <c r="E274" s="269"/>
      <c r="F274" s="269"/>
      <c r="G274" s="292"/>
      <c r="H274" s="265"/>
      <c r="I274" s="27" t="s">
        <v>607</v>
      </c>
      <c r="J274" s="5" t="s">
        <v>65</v>
      </c>
      <c r="K274" s="3" t="s">
        <v>621</v>
      </c>
      <c r="L274" s="27" t="str">
        <f>VLOOKUP(K274,[1]CódigosRetorno!$A$2:$B$1996,2,FALSE)</f>
        <v>No debe ingresar informacion de vehiculos secundarios</v>
      </c>
      <c r="M274" s="5" t="s">
        <v>67</v>
      </c>
      <c r="N274" s="5"/>
      <c r="O274" s="6"/>
    </row>
    <row r="275" spans="1:15" ht="60" x14ac:dyDescent="0.25">
      <c r="A275" s="6"/>
      <c r="B275" s="266"/>
      <c r="C275" s="267"/>
      <c r="D275" s="268"/>
      <c r="E275" s="269"/>
      <c r="F275" s="269"/>
      <c r="G275" s="292"/>
      <c r="H275" s="265"/>
      <c r="I275" s="27" t="s">
        <v>608</v>
      </c>
      <c r="J275" s="5" t="s">
        <v>65</v>
      </c>
      <c r="K275" s="3" t="s">
        <v>621</v>
      </c>
      <c r="L275" s="27" t="str">
        <f>VLOOKUP(K275,[1]CódigosRetorno!$A$2:$B$1996,2,FALSE)</f>
        <v>No debe ingresar informacion de vehiculos secundarios</v>
      </c>
      <c r="M275" s="5" t="s">
        <v>67</v>
      </c>
      <c r="N275" s="5"/>
      <c r="O275" s="6"/>
    </row>
    <row r="276" spans="1:15" ht="48" x14ac:dyDescent="0.25">
      <c r="A276" s="6"/>
      <c r="B276" s="266"/>
      <c r="C276" s="267"/>
      <c r="D276" s="268"/>
      <c r="E276" s="269"/>
      <c r="F276" s="269"/>
      <c r="G276" s="292"/>
      <c r="H276" s="265"/>
      <c r="I276" s="33" t="s">
        <v>591</v>
      </c>
      <c r="J276" s="5" t="s">
        <v>65</v>
      </c>
      <c r="K276" s="36" t="s">
        <v>592</v>
      </c>
      <c r="L276" s="27" t="str">
        <f>VLOOKUP(K276,[1]CódigosRetorno!$A$2:$B$1996,2,FALSE)</f>
        <v>Numero de placa del vehículo - El dato ingresado no cumple con el formato establecido.</v>
      </c>
      <c r="M276" s="5" t="s">
        <v>67</v>
      </c>
      <c r="N276" s="5"/>
      <c r="O276" s="6"/>
    </row>
    <row r="277" spans="1:15" ht="24" x14ac:dyDescent="0.25">
      <c r="A277" s="6"/>
      <c r="B277" s="266"/>
      <c r="C277" s="267"/>
      <c r="D277" s="268"/>
      <c r="E277" s="269"/>
      <c r="F277" s="269"/>
      <c r="G277" s="292"/>
      <c r="H277" s="265"/>
      <c r="I277" s="27" t="s">
        <v>593</v>
      </c>
      <c r="J277" s="5" t="s">
        <v>111</v>
      </c>
      <c r="K277" s="3" t="s">
        <v>594</v>
      </c>
      <c r="L277" s="27" t="str">
        <f>VLOOKUP(K277,[1]CódigosRetorno!$A$2:$B$1996,2,FALSE)</f>
        <v>El Numero de placa no se encuentra en las bases consultadas</v>
      </c>
      <c r="M277" s="5" t="s">
        <v>85</v>
      </c>
      <c r="N277" s="5" t="s">
        <v>595</v>
      </c>
      <c r="O277" s="6"/>
    </row>
    <row r="278" spans="1:15" ht="72" x14ac:dyDescent="0.25">
      <c r="A278" s="6"/>
      <c r="B278" s="266">
        <f>B273+1</f>
        <v>50</v>
      </c>
      <c r="C278" s="267" t="s">
        <v>596</v>
      </c>
      <c r="D278" s="268" t="s">
        <v>61</v>
      </c>
      <c r="E278" s="269" t="s">
        <v>15</v>
      </c>
      <c r="F278" s="269" t="s">
        <v>18</v>
      </c>
      <c r="G278" s="292"/>
      <c r="H278" s="265" t="s">
        <v>622</v>
      </c>
      <c r="I278" s="27" t="s">
        <v>623</v>
      </c>
      <c r="J278" s="5" t="s">
        <v>111</v>
      </c>
      <c r="K278" s="3" t="s">
        <v>599</v>
      </c>
      <c r="L278" s="27" t="str">
        <f>VLOOKUP(K278,[1]CódigosRetorno!$A$2:$B$1996,2,FALSE)</f>
        <v>No ha consignado el Numero de Constancia de Inscripcion Vehicular o Certificado de Habilitacion Vehicular o la TUC (fisica o electronica)</v>
      </c>
      <c r="M278" s="5" t="s">
        <v>67</v>
      </c>
      <c r="N278" s="5"/>
      <c r="O278" s="6"/>
    </row>
    <row r="279" spans="1:15" ht="36" x14ac:dyDescent="0.25">
      <c r="A279" s="6"/>
      <c r="B279" s="266"/>
      <c r="C279" s="267"/>
      <c r="D279" s="268"/>
      <c r="E279" s="269"/>
      <c r="F279" s="269"/>
      <c r="G279" s="292"/>
      <c r="H279" s="265"/>
      <c r="I279" s="27" t="s">
        <v>600</v>
      </c>
      <c r="J279" s="5" t="s">
        <v>65</v>
      </c>
      <c r="K279" s="3" t="s">
        <v>624</v>
      </c>
      <c r="L279" s="27" t="str">
        <f>VLOOKUP(K279,[1]CódigosRetorno!$A$2:$B$1996,2,FALSE)</f>
        <v>No debe ingresar informacion adicional de vehiculos secundarios</v>
      </c>
      <c r="M279" s="5" t="s">
        <v>67</v>
      </c>
      <c r="N279" s="5"/>
      <c r="O279" s="6"/>
    </row>
    <row r="280" spans="1:15" ht="60" x14ac:dyDescent="0.25">
      <c r="A280" s="6"/>
      <c r="B280" s="266"/>
      <c r="C280" s="267"/>
      <c r="D280" s="268"/>
      <c r="E280" s="269"/>
      <c r="F280" s="269"/>
      <c r="G280" s="292"/>
      <c r="H280" s="265"/>
      <c r="I280" s="33" t="s">
        <v>625</v>
      </c>
      <c r="J280" s="5" t="s">
        <v>65</v>
      </c>
      <c r="K280" s="3" t="s">
        <v>603</v>
      </c>
      <c r="L280" s="27" t="str">
        <f>VLOOKUP(K280,[1]CódigosRetorno!$A$2:$B$1996,2,FALSE)</f>
        <v>El Numero de Constancia de Inscripcion Vehicular o Certificado de Habilitacion Vehicular o la TUC (fisica o electronica) no cumple con el formato establecido</v>
      </c>
      <c r="M280" s="5" t="s">
        <v>67</v>
      </c>
      <c r="N280" s="5"/>
      <c r="O280" s="6"/>
    </row>
    <row r="281" spans="1:15" ht="36" x14ac:dyDescent="0.25">
      <c r="A281" s="6"/>
      <c r="B281" s="266"/>
      <c r="C281" s="267"/>
      <c r="D281" s="268"/>
      <c r="E281" s="269"/>
      <c r="F281" s="269"/>
      <c r="G281" s="292"/>
      <c r="H281" s="265"/>
      <c r="I281" s="27" t="s">
        <v>593</v>
      </c>
      <c r="J281" s="5" t="s">
        <v>111</v>
      </c>
      <c r="K281" s="3" t="s">
        <v>604</v>
      </c>
      <c r="L281" s="27" t="str">
        <f>VLOOKUP(K281,[1]CódigosRetorno!$A$2:$B$1996,2,FALSE)</f>
        <v>El Numero de Constancia de Inscripcion Vehicular o Certificado de Habilitacion Vehicular o la TUC (fisica o electronica) no se encuentra en las bases consultadas</v>
      </c>
      <c r="M281" s="5" t="s">
        <v>85</v>
      </c>
      <c r="N281" s="5" t="s">
        <v>574</v>
      </c>
      <c r="O281" s="6"/>
    </row>
    <row r="282" spans="1:15" ht="24" x14ac:dyDescent="0.25">
      <c r="A282" s="6"/>
      <c r="B282" s="268">
        <f>B278+1</f>
        <v>51</v>
      </c>
      <c r="C282" s="267" t="s">
        <v>626</v>
      </c>
      <c r="D282" s="268" t="s">
        <v>61</v>
      </c>
      <c r="E282" s="269" t="s">
        <v>15</v>
      </c>
      <c r="F282" s="269" t="s">
        <v>162</v>
      </c>
      <c r="G282" s="292"/>
      <c r="H282" s="265" t="s">
        <v>627</v>
      </c>
      <c r="I282" s="27" t="s">
        <v>607</v>
      </c>
      <c r="J282" s="5" t="s">
        <v>65</v>
      </c>
      <c r="K282" s="3" t="s">
        <v>624</v>
      </c>
      <c r="L282" s="27" t="str">
        <f>VLOOKUP(K282,[1]CódigosRetorno!$A$2:$B$1996,2,FALSE)</f>
        <v>No debe ingresar informacion adicional de vehiculos secundarios</v>
      </c>
      <c r="M282" s="5" t="s">
        <v>67</v>
      </c>
      <c r="N282" s="5"/>
      <c r="O282" s="6"/>
    </row>
    <row r="283" spans="1:15" ht="60" x14ac:dyDescent="0.25">
      <c r="A283" s="6"/>
      <c r="B283" s="268"/>
      <c r="C283" s="267"/>
      <c r="D283" s="268"/>
      <c r="E283" s="269"/>
      <c r="F283" s="269"/>
      <c r="G283" s="292"/>
      <c r="H283" s="265"/>
      <c r="I283" s="27" t="s">
        <v>608</v>
      </c>
      <c r="J283" s="5" t="s">
        <v>65</v>
      </c>
      <c r="K283" s="3" t="s">
        <v>624</v>
      </c>
      <c r="L283" s="27" t="str">
        <f>VLOOKUP(K283,[1]CódigosRetorno!$A$2:$B$1996,2,FALSE)</f>
        <v>No debe ingresar informacion adicional de vehiculos secundarios</v>
      </c>
      <c r="M283" s="5" t="s">
        <v>67</v>
      </c>
      <c r="N283" s="5"/>
      <c r="O283" s="6"/>
    </row>
    <row r="284" spans="1:15" ht="72" x14ac:dyDescent="0.25">
      <c r="A284" s="6"/>
      <c r="B284" s="268"/>
      <c r="C284" s="267"/>
      <c r="D284" s="268"/>
      <c r="E284" s="269"/>
      <c r="F284" s="269"/>
      <c r="G284" s="292"/>
      <c r="H284" s="265"/>
      <c r="I284" s="27" t="s">
        <v>578</v>
      </c>
      <c r="J284" s="5" t="s">
        <v>111</v>
      </c>
      <c r="K284" s="3" t="s">
        <v>609</v>
      </c>
      <c r="L284" s="27" t="str">
        <f>VLOOKUP(K284,[1]CódigosRetorno!$A$2:$B$1996,2,FALSE)</f>
        <v>El Numero de autorizacion del vehiculo no cumple con el formato establecido</v>
      </c>
      <c r="M284" s="5" t="s">
        <v>67</v>
      </c>
      <c r="N284" s="5"/>
      <c r="O284" s="6"/>
    </row>
    <row r="285" spans="1:15" ht="24" x14ac:dyDescent="0.25">
      <c r="A285" s="6"/>
      <c r="B285" s="268"/>
      <c r="C285" s="267"/>
      <c r="D285" s="268"/>
      <c r="E285" s="269"/>
      <c r="F285" s="269"/>
      <c r="G285" s="292"/>
      <c r="H285" s="265"/>
      <c r="I285" s="27" t="s">
        <v>628</v>
      </c>
      <c r="J285" s="5" t="s">
        <v>65</v>
      </c>
      <c r="K285" s="3" t="s">
        <v>611</v>
      </c>
      <c r="L285" s="27" t="str">
        <f>VLOOKUP(K285,[1]CódigosRetorno!$A$2:$B$1996,2,FALSE)</f>
        <v>Solo debe consignar un Numero de autorizacion del vehiculo</v>
      </c>
      <c r="M285" s="5" t="s">
        <v>67</v>
      </c>
      <c r="N285" s="5"/>
      <c r="O285" s="6"/>
    </row>
    <row r="286" spans="1:15" ht="24" x14ac:dyDescent="0.25">
      <c r="A286" s="6"/>
      <c r="B286" s="266"/>
      <c r="C286" s="267"/>
      <c r="D286" s="268"/>
      <c r="E286" s="269"/>
      <c r="F286" s="269" t="s">
        <v>30</v>
      </c>
      <c r="G286" s="300" t="s">
        <v>168</v>
      </c>
      <c r="H286" s="265" t="s">
        <v>629</v>
      </c>
      <c r="I286" s="27" t="s">
        <v>173</v>
      </c>
      <c r="J286" s="5" t="s">
        <v>111</v>
      </c>
      <c r="K286" s="3" t="s">
        <v>613</v>
      </c>
      <c r="L286" s="27" t="str">
        <f>VLOOKUP(K286,[1]CódigosRetorno!$A$2:$B$1996,2,FALSE)</f>
        <v>Debe indicar la entidad autorizadora del vehiculo</v>
      </c>
      <c r="M286" s="5" t="s">
        <v>67</v>
      </c>
      <c r="N286" s="5"/>
      <c r="O286" s="6"/>
    </row>
    <row r="287" spans="1:15" ht="24" x14ac:dyDescent="0.25">
      <c r="A287" s="6"/>
      <c r="B287" s="266"/>
      <c r="C287" s="267"/>
      <c r="D287" s="268"/>
      <c r="E287" s="269"/>
      <c r="F287" s="269"/>
      <c r="G287" s="300"/>
      <c r="H287" s="265"/>
      <c r="I287" s="27" t="s">
        <v>170</v>
      </c>
      <c r="J287" s="5" t="s">
        <v>111</v>
      </c>
      <c r="K287" s="3" t="s">
        <v>614</v>
      </c>
      <c r="L287" s="27" t="str">
        <f>VLOOKUP(K287,[1]CódigosRetorno!$A$2:$B$1996,2,FALSE)</f>
        <v>El Codigo de entidad autorizadora del vehiculo no corresponde a un valor esperado</v>
      </c>
      <c r="M287" s="5" t="s">
        <v>67</v>
      </c>
      <c r="N287" s="37" t="s">
        <v>172</v>
      </c>
      <c r="O287" s="6"/>
    </row>
    <row r="288" spans="1:15" ht="24" x14ac:dyDescent="0.25">
      <c r="A288" s="6"/>
      <c r="B288" s="266"/>
      <c r="C288" s="267"/>
      <c r="D288" s="268"/>
      <c r="E288" s="269"/>
      <c r="F288" s="269"/>
      <c r="G288" s="300"/>
      <c r="H288" s="265"/>
      <c r="I288" s="27" t="s">
        <v>615</v>
      </c>
      <c r="J288" s="5" t="s">
        <v>111</v>
      </c>
      <c r="K288" s="3" t="s">
        <v>616</v>
      </c>
      <c r="L288" s="27" t="str">
        <f>VLOOKUP(K288,[1]CódigosRetorno!$A$2:$B$1996,2,FALSE)</f>
        <v>Si existe el Codigo de entidad autorizadora, debe consignar el Numero de autorizacion especial del vehiculo</v>
      </c>
      <c r="M288" s="5" t="s">
        <v>67</v>
      </c>
      <c r="N288" s="5"/>
      <c r="O288" s="6"/>
    </row>
    <row r="289" spans="1:15" ht="24" x14ac:dyDescent="0.25">
      <c r="A289" s="6"/>
      <c r="B289" s="266"/>
      <c r="C289" s="267"/>
      <c r="D289" s="268"/>
      <c r="E289" s="269"/>
      <c r="F289" s="268"/>
      <c r="G289" s="188" t="s">
        <v>177</v>
      </c>
      <c r="H289" s="189" t="s">
        <v>134</v>
      </c>
      <c r="I289" s="33" t="s">
        <v>178</v>
      </c>
      <c r="J289" s="5" t="s">
        <v>111</v>
      </c>
      <c r="K289" s="3" t="s">
        <v>136</v>
      </c>
      <c r="L289" s="27" t="str">
        <f>VLOOKUP(K289,[1]CódigosRetorno!$A$2:$B$1996,2,FALSE)</f>
        <v>El dato ingresado como atributo @schemeName es incorrecto.</v>
      </c>
      <c r="M289" s="5" t="s">
        <v>67</v>
      </c>
      <c r="N289" s="5"/>
      <c r="O289" s="6"/>
    </row>
    <row r="290" spans="1:15" ht="24" x14ac:dyDescent="0.25">
      <c r="A290" s="6"/>
      <c r="B290" s="266"/>
      <c r="C290" s="267"/>
      <c r="D290" s="268"/>
      <c r="E290" s="269"/>
      <c r="F290" s="268"/>
      <c r="G290" s="188" t="s">
        <v>108</v>
      </c>
      <c r="H290" s="189" t="s">
        <v>137</v>
      </c>
      <c r="I290" s="33" t="s">
        <v>110</v>
      </c>
      <c r="J290" s="5" t="s">
        <v>111</v>
      </c>
      <c r="K290" s="3" t="s">
        <v>138</v>
      </c>
      <c r="L290" s="27" t="str">
        <f>VLOOKUP(K290,[1]CódigosRetorno!$A$2:$B$1996,2,FALSE)</f>
        <v>El dato ingresado como atributo @schemeAgencyName es incorrecto.</v>
      </c>
      <c r="M290" s="5" t="s">
        <v>67</v>
      </c>
      <c r="N290" s="5"/>
      <c r="O290" s="6"/>
    </row>
    <row r="291" spans="1:15" x14ac:dyDescent="0.25">
      <c r="A291" s="6"/>
      <c r="B291" s="38" t="s">
        <v>630</v>
      </c>
      <c r="C291" s="39"/>
      <c r="D291" s="23"/>
      <c r="E291" s="23"/>
      <c r="F291" s="23"/>
      <c r="G291" s="24"/>
      <c r="H291" s="25"/>
      <c r="I291" s="23"/>
      <c r="J291" s="23"/>
      <c r="K291" s="23"/>
      <c r="L291" s="23"/>
      <c r="M291" s="23"/>
      <c r="N291" s="26"/>
      <c r="O291" s="6"/>
    </row>
    <row r="292" spans="1:15" ht="48" x14ac:dyDescent="0.25">
      <c r="A292" s="6"/>
      <c r="B292" s="266">
        <f>B282+1</f>
        <v>52</v>
      </c>
      <c r="C292" s="299" t="s">
        <v>631</v>
      </c>
      <c r="D292" s="291" t="s">
        <v>61</v>
      </c>
      <c r="E292" s="272" t="s">
        <v>15</v>
      </c>
      <c r="F292" s="286" t="s">
        <v>632</v>
      </c>
      <c r="G292" s="286" t="s">
        <v>633</v>
      </c>
      <c r="H292" s="274" t="s">
        <v>634</v>
      </c>
      <c r="I292" s="56" t="s">
        <v>635</v>
      </c>
      <c r="J292" s="46" t="s">
        <v>65</v>
      </c>
      <c r="K292" s="47" t="s">
        <v>636</v>
      </c>
      <c r="L292" s="27" t="str">
        <f>VLOOKUP(K292,[1]CódigosRetorno!$A$2:$B$1996,2,FALSE)</f>
        <v>Debe consignar informacion del conductor principal</v>
      </c>
      <c r="M292" s="28" t="s">
        <v>67</v>
      </c>
      <c r="N292" s="28"/>
      <c r="O292" s="6"/>
    </row>
    <row r="293" spans="1:15" ht="72" x14ac:dyDescent="0.25">
      <c r="A293" s="6"/>
      <c r="B293" s="266"/>
      <c r="C293" s="299"/>
      <c r="D293" s="291"/>
      <c r="E293" s="272"/>
      <c r="F293" s="286"/>
      <c r="G293" s="286"/>
      <c r="H293" s="274"/>
      <c r="I293" s="27" t="s">
        <v>637</v>
      </c>
      <c r="J293" s="5" t="s">
        <v>65</v>
      </c>
      <c r="K293" s="47" t="s">
        <v>636</v>
      </c>
      <c r="L293" s="27" t="str">
        <f>VLOOKUP(K293,[1]CódigosRetorno!$A$2:$B$1996,2,FALSE)</f>
        <v>Debe consignar informacion del conductor principal</v>
      </c>
      <c r="M293" s="28" t="s">
        <v>67</v>
      </c>
      <c r="N293" s="28"/>
      <c r="O293" s="6"/>
    </row>
    <row r="294" spans="1:15" ht="24" x14ac:dyDescent="0.25">
      <c r="A294" s="6"/>
      <c r="B294" s="266"/>
      <c r="C294" s="267"/>
      <c r="D294" s="268"/>
      <c r="E294" s="269"/>
      <c r="F294" s="300"/>
      <c r="G294" s="300"/>
      <c r="H294" s="265"/>
      <c r="I294" s="27" t="s">
        <v>638</v>
      </c>
      <c r="J294" s="5" t="s">
        <v>65</v>
      </c>
      <c r="K294" s="3" t="s">
        <v>639</v>
      </c>
      <c r="L294" s="27" t="str">
        <f>VLOOKUP(K294,[1]CódigosRetorno!$A$2:$B$1996,2,FALSE)</f>
        <v>Solo debe existir informacion de un conductor principal</v>
      </c>
      <c r="M294" s="28" t="s">
        <v>67</v>
      </c>
      <c r="N294" s="28"/>
      <c r="O294" s="6"/>
    </row>
    <row r="295" spans="1:15" ht="48" x14ac:dyDescent="0.25">
      <c r="A295" s="6"/>
      <c r="B295" s="295">
        <f>B292+1</f>
        <v>53</v>
      </c>
      <c r="C295" s="273" t="s">
        <v>640</v>
      </c>
      <c r="D295" s="287" t="s">
        <v>61</v>
      </c>
      <c r="E295" s="271" t="s">
        <v>15</v>
      </c>
      <c r="F295" s="271" t="s">
        <v>17</v>
      </c>
      <c r="G295" s="269" t="s">
        <v>273</v>
      </c>
      <c r="H295" s="265" t="s">
        <v>641</v>
      </c>
      <c r="I295" s="27" t="s">
        <v>642</v>
      </c>
      <c r="J295" s="5" t="s">
        <v>65</v>
      </c>
      <c r="K295" s="5" t="s">
        <v>643</v>
      </c>
      <c r="L295" s="27" t="str">
        <f>VLOOKUP(K295,[1]CódigosRetorno!$A$2:$B$1996,2,FALSE)</f>
        <v>El XML no contiene el tag o no existe informacion del tipo de documento identidad del conductor.</v>
      </c>
      <c r="M295" s="5" t="s">
        <v>67</v>
      </c>
      <c r="N295" s="5"/>
      <c r="O295" s="6"/>
    </row>
    <row r="296" spans="1:15" ht="72" x14ac:dyDescent="0.25">
      <c r="A296" s="6"/>
      <c r="B296" s="296"/>
      <c r="C296" s="279"/>
      <c r="D296" s="288"/>
      <c r="E296" s="285"/>
      <c r="F296" s="285"/>
      <c r="G296" s="269"/>
      <c r="H296" s="265"/>
      <c r="I296" s="27" t="s">
        <v>644</v>
      </c>
      <c r="J296" s="5" t="s">
        <v>65</v>
      </c>
      <c r="K296" s="5" t="s">
        <v>643</v>
      </c>
      <c r="L296" s="27" t="str">
        <f>VLOOKUP(K296,[1]CódigosRetorno!$A$2:$B$1996,2,FALSE)</f>
        <v>El XML no contiene el tag o no existe informacion del tipo de documento identidad del conductor.</v>
      </c>
      <c r="M296" s="5" t="s">
        <v>67</v>
      </c>
      <c r="N296" s="5"/>
      <c r="O296" s="6"/>
    </row>
    <row r="297" spans="1:15" ht="36" x14ac:dyDescent="0.25">
      <c r="A297" s="6"/>
      <c r="B297" s="296"/>
      <c r="C297" s="279"/>
      <c r="D297" s="288"/>
      <c r="E297" s="285"/>
      <c r="F297" s="285"/>
      <c r="G297" s="269"/>
      <c r="H297" s="265"/>
      <c r="I297" s="27" t="s">
        <v>645</v>
      </c>
      <c r="J297" s="5" t="s">
        <v>65</v>
      </c>
      <c r="K297" s="3" t="s">
        <v>646</v>
      </c>
      <c r="L297" s="27" t="str">
        <f>VLOOKUP(K297,[1]CódigosRetorno!$A$2:$B$1996,2,FALSE)</f>
        <v>No debe ingresar informacion del conductor principal</v>
      </c>
      <c r="M297" s="5" t="s">
        <v>67</v>
      </c>
      <c r="N297" s="5"/>
      <c r="O297" s="6"/>
    </row>
    <row r="298" spans="1:15" ht="72" x14ac:dyDescent="0.25">
      <c r="A298" s="6"/>
      <c r="B298" s="296"/>
      <c r="C298" s="279"/>
      <c r="D298" s="288"/>
      <c r="E298" s="285"/>
      <c r="F298" s="285"/>
      <c r="G298" s="269"/>
      <c r="H298" s="265"/>
      <c r="I298" s="27" t="s">
        <v>647</v>
      </c>
      <c r="J298" s="5" t="s">
        <v>65</v>
      </c>
      <c r="K298" s="3" t="s">
        <v>646</v>
      </c>
      <c r="L298" s="27" t="str">
        <f>VLOOKUP(K298,[1]CódigosRetorno!$A$2:$B$1996,2,FALSE)</f>
        <v>No debe ingresar informacion del conductor principal</v>
      </c>
      <c r="M298" s="5" t="s">
        <v>67</v>
      </c>
      <c r="N298" s="5"/>
      <c r="O298" s="6"/>
    </row>
    <row r="299" spans="1:15" ht="36" x14ac:dyDescent="0.25">
      <c r="A299" s="6"/>
      <c r="B299" s="296"/>
      <c r="C299" s="279"/>
      <c r="D299" s="288"/>
      <c r="E299" s="285"/>
      <c r="F299" s="285"/>
      <c r="G299" s="269"/>
      <c r="H299" s="265"/>
      <c r="I299" s="27" t="s">
        <v>648</v>
      </c>
      <c r="J299" s="5" t="s">
        <v>65</v>
      </c>
      <c r="K299" s="3" t="s">
        <v>649</v>
      </c>
      <c r="L299" s="27" t="str">
        <f>VLOOKUP(K299,[1]CódigosRetorno!$A$2:$B$1996,2,FALSE)</f>
        <v>cac:DriverPerson/ID@schemeID - El valor ingresado de tipo de documento identidad de conductor es incorrecto.</v>
      </c>
      <c r="M299" s="5" t="s">
        <v>67</v>
      </c>
      <c r="N299" s="5" t="s">
        <v>279</v>
      </c>
      <c r="O299" s="6"/>
    </row>
    <row r="300" spans="1:15" ht="24" x14ac:dyDescent="0.25">
      <c r="A300" s="6"/>
      <c r="B300" s="296"/>
      <c r="C300" s="279"/>
      <c r="D300" s="288"/>
      <c r="E300" s="285"/>
      <c r="F300" s="287"/>
      <c r="G300" s="190" t="s">
        <v>133</v>
      </c>
      <c r="H300" s="193" t="s">
        <v>134</v>
      </c>
      <c r="I300" s="33" t="s">
        <v>135</v>
      </c>
      <c r="J300" s="5" t="s">
        <v>111</v>
      </c>
      <c r="K300" s="3" t="s">
        <v>136</v>
      </c>
      <c r="L300" s="27" t="str">
        <f>VLOOKUP(K300,[1]CódigosRetorno!$A$2:$B$1996,2,FALSE)</f>
        <v>El dato ingresado como atributo @schemeName es incorrecto.</v>
      </c>
      <c r="M300" s="28" t="s">
        <v>67</v>
      </c>
      <c r="N300" s="28"/>
      <c r="O300" s="6"/>
    </row>
    <row r="301" spans="1:15" ht="24" x14ac:dyDescent="0.25">
      <c r="A301" s="6"/>
      <c r="B301" s="296"/>
      <c r="C301" s="279"/>
      <c r="D301" s="288"/>
      <c r="E301" s="285"/>
      <c r="F301" s="288"/>
      <c r="G301" s="190" t="s">
        <v>108</v>
      </c>
      <c r="H301" s="193" t="s">
        <v>137</v>
      </c>
      <c r="I301" s="33" t="s">
        <v>110</v>
      </c>
      <c r="J301" s="5" t="s">
        <v>111</v>
      </c>
      <c r="K301" s="3" t="s">
        <v>138</v>
      </c>
      <c r="L301" s="27" t="str">
        <f>VLOOKUP(K301,[1]CódigosRetorno!$A$2:$B$1996,2,FALSE)</f>
        <v>El dato ingresado como atributo @schemeAgencyName es incorrecto.</v>
      </c>
      <c r="M301" s="28" t="s">
        <v>67</v>
      </c>
      <c r="N301" s="28"/>
      <c r="O301" s="6"/>
    </row>
    <row r="302" spans="1:15" ht="36" x14ac:dyDescent="0.25">
      <c r="A302" s="6"/>
      <c r="B302" s="296"/>
      <c r="C302" s="279"/>
      <c r="D302" s="288"/>
      <c r="E302" s="285"/>
      <c r="F302" s="291"/>
      <c r="G302" s="190" t="s">
        <v>139</v>
      </c>
      <c r="H302" s="193" t="s">
        <v>140</v>
      </c>
      <c r="I302" s="33" t="s">
        <v>141</v>
      </c>
      <c r="J302" s="5" t="s">
        <v>111</v>
      </c>
      <c r="K302" s="3" t="s">
        <v>142</v>
      </c>
      <c r="L302" s="27" t="str">
        <f>VLOOKUP(K302,[1]CódigosRetorno!$A$2:$B$1996,2,FALSE)</f>
        <v>El dato ingresado como atributo @schemeURI es incorrecto.</v>
      </c>
      <c r="M302" s="28" t="s">
        <v>67</v>
      </c>
      <c r="N302" s="28"/>
      <c r="O302" s="6"/>
    </row>
    <row r="303" spans="1:15" ht="48" x14ac:dyDescent="0.25">
      <c r="A303" s="6"/>
      <c r="B303" s="296"/>
      <c r="C303" s="279"/>
      <c r="D303" s="288"/>
      <c r="E303" s="285" t="s">
        <v>15</v>
      </c>
      <c r="F303" s="269" t="s">
        <v>18</v>
      </c>
      <c r="G303" s="292"/>
      <c r="H303" s="265" t="s">
        <v>650</v>
      </c>
      <c r="I303" s="27" t="s">
        <v>651</v>
      </c>
      <c r="J303" s="5" t="s">
        <v>65</v>
      </c>
      <c r="K303" s="36" t="s">
        <v>652</v>
      </c>
      <c r="L303" s="27" t="str">
        <f>VLOOKUP(K303,[1]CódigosRetorno!$A$2:$B$1996,2,FALSE)</f>
        <v>El XML no contiene el tag o no existe informacion en el Numero de documento de identidad del conductor.</v>
      </c>
      <c r="M303" s="5" t="s">
        <v>67</v>
      </c>
      <c r="N303" s="5"/>
      <c r="O303" s="6"/>
    </row>
    <row r="304" spans="1:15" ht="72" x14ac:dyDescent="0.25">
      <c r="A304" s="6"/>
      <c r="B304" s="296"/>
      <c r="C304" s="279"/>
      <c r="D304" s="288"/>
      <c r="E304" s="285"/>
      <c r="F304" s="269"/>
      <c r="G304" s="292"/>
      <c r="H304" s="265"/>
      <c r="I304" s="27" t="s">
        <v>653</v>
      </c>
      <c r="J304" s="5" t="s">
        <v>65</v>
      </c>
      <c r="K304" s="36" t="s">
        <v>652</v>
      </c>
      <c r="L304" s="27" t="str">
        <f>VLOOKUP(K304,[1]CódigosRetorno!$A$2:$B$1996,2,FALSE)</f>
        <v>El XML no contiene el tag o no existe informacion en el Numero de documento de identidad del conductor.</v>
      </c>
      <c r="M304" s="5" t="s">
        <v>67</v>
      </c>
      <c r="N304" s="5"/>
      <c r="O304" s="6"/>
    </row>
    <row r="305" spans="1:15" ht="36" x14ac:dyDescent="0.25">
      <c r="A305" s="6"/>
      <c r="B305" s="296"/>
      <c r="C305" s="279"/>
      <c r="D305" s="288"/>
      <c r="E305" s="285"/>
      <c r="F305" s="269"/>
      <c r="G305" s="292"/>
      <c r="H305" s="265"/>
      <c r="I305" s="27" t="s">
        <v>654</v>
      </c>
      <c r="J305" s="5" t="s">
        <v>65</v>
      </c>
      <c r="K305" s="3" t="s">
        <v>646</v>
      </c>
      <c r="L305" s="27" t="str">
        <f>VLOOKUP(K305,[1]CódigosRetorno!$A$2:$B$1996,2,FALSE)</f>
        <v>No debe ingresar informacion del conductor principal</v>
      </c>
      <c r="M305" s="5" t="s">
        <v>67</v>
      </c>
      <c r="N305" s="5"/>
      <c r="O305" s="6"/>
    </row>
    <row r="306" spans="1:15" ht="72" x14ac:dyDescent="0.25">
      <c r="A306" s="6"/>
      <c r="B306" s="296"/>
      <c r="C306" s="279"/>
      <c r="D306" s="288"/>
      <c r="E306" s="285"/>
      <c r="F306" s="269"/>
      <c r="G306" s="292"/>
      <c r="H306" s="265"/>
      <c r="I306" s="27" t="s">
        <v>655</v>
      </c>
      <c r="J306" s="5" t="s">
        <v>65</v>
      </c>
      <c r="K306" s="3" t="s">
        <v>646</v>
      </c>
      <c r="L306" s="27" t="str">
        <f>VLOOKUP(K306,[1]CódigosRetorno!$A$2:$B$1996,2,FALSE)</f>
        <v>No debe ingresar informacion del conductor principal</v>
      </c>
      <c r="M306" s="5" t="s">
        <v>67</v>
      </c>
      <c r="N306" s="5"/>
      <c r="O306" s="6"/>
    </row>
    <row r="307" spans="1:15" ht="36" x14ac:dyDescent="0.25">
      <c r="A307" s="6"/>
      <c r="B307" s="296"/>
      <c r="C307" s="279"/>
      <c r="D307" s="288"/>
      <c r="E307" s="285"/>
      <c r="F307" s="269"/>
      <c r="G307" s="292"/>
      <c r="H307" s="265"/>
      <c r="I307" s="27" t="s">
        <v>656</v>
      </c>
      <c r="J307" s="5" t="s">
        <v>65</v>
      </c>
      <c r="K307" s="3" t="s">
        <v>657</v>
      </c>
      <c r="L307" s="27" t="str">
        <f>VLOOKUP(K307,[1]CódigosRetorno!$A$2:$B$1996,2,FALSE)</f>
        <v>Documento identidad del conductor - El dato ingresado no cumple con el formato establecido.</v>
      </c>
      <c r="M307" s="5" t="s">
        <v>67</v>
      </c>
      <c r="N307" s="5"/>
      <c r="O307" s="6"/>
    </row>
    <row r="308" spans="1:15" ht="36" x14ac:dyDescent="0.25">
      <c r="A308" s="6"/>
      <c r="B308" s="296"/>
      <c r="C308" s="279"/>
      <c r="D308" s="288"/>
      <c r="E308" s="285"/>
      <c r="F308" s="269"/>
      <c r="G308" s="292"/>
      <c r="H308" s="265"/>
      <c r="I308" s="27" t="s">
        <v>658</v>
      </c>
      <c r="J308" s="5" t="s">
        <v>65</v>
      </c>
      <c r="K308" s="3" t="s">
        <v>659</v>
      </c>
      <c r="L308" s="27" t="str">
        <f>VLOOKUP(K308,[1]CódigosRetorno!$A$2:$B$1996,2,FALSE)</f>
        <v>El numero de DNI del conductor no existe</v>
      </c>
      <c r="M308" s="5" t="s">
        <v>85</v>
      </c>
      <c r="N308" s="5" t="s">
        <v>302</v>
      </c>
      <c r="O308" s="6"/>
    </row>
    <row r="309" spans="1:15" ht="72" x14ac:dyDescent="0.25">
      <c r="A309" s="6"/>
      <c r="B309" s="297"/>
      <c r="C309" s="274"/>
      <c r="D309" s="291"/>
      <c r="E309" s="272"/>
      <c r="F309" s="271"/>
      <c r="G309" s="280"/>
      <c r="H309" s="273"/>
      <c r="I309" s="42" t="s">
        <v>660</v>
      </c>
      <c r="J309" s="49" t="s">
        <v>65</v>
      </c>
      <c r="K309" s="3" t="s">
        <v>657</v>
      </c>
      <c r="L309" s="27" t="str">
        <f>VLOOKUP(K309,[1]CódigosRetorno!$A$2:$B$1996,2,FALSE)</f>
        <v>Documento identidad del conductor - El dato ingresado no cumple con el formato establecido.</v>
      </c>
      <c r="M309" s="49" t="s">
        <v>67</v>
      </c>
      <c r="N309" s="49"/>
      <c r="O309" s="6"/>
    </row>
    <row r="310" spans="1:15" ht="48" x14ac:dyDescent="0.25">
      <c r="A310" s="6"/>
      <c r="B310" s="266">
        <f>B295+1</f>
        <v>54</v>
      </c>
      <c r="C310" s="267" t="s">
        <v>661</v>
      </c>
      <c r="D310" s="268" t="s">
        <v>61</v>
      </c>
      <c r="E310" s="269" t="s">
        <v>15</v>
      </c>
      <c r="F310" s="271" t="s">
        <v>36</v>
      </c>
      <c r="G310" s="287"/>
      <c r="H310" s="273" t="s">
        <v>662</v>
      </c>
      <c r="I310" s="27" t="s">
        <v>651</v>
      </c>
      <c r="J310" s="5" t="s">
        <v>65</v>
      </c>
      <c r="K310" s="3" t="s">
        <v>663</v>
      </c>
      <c r="L310" s="27" t="str">
        <f>VLOOKUP(K310,[1]CódigosRetorno!$A$2:$B$1996,2,FALSE)</f>
        <v>Debe consignar informacion de los nombres del conductor</v>
      </c>
      <c r="M310" s="5" t="s">
        <v>67</v>
      </c>
      <c r="N310" s="5"/>
      <c r="O310" s="6"/>
    </row>
    <row r="311" spans="1:15" ht="78.75" customHeight="1" x14ac:dyDescent="0.25">
      <c r="A311" s="6"/>
      <c r="B311" s="266"/>
      <c r="C311" s="267"/>
      <c r="D311" s="268"/>
      <c r="E311" s="269"/>
      <c r="F311" s="285"/>
      <c r="G311" s="288"/>
      <c r="H311" s="279"/>
      <c r="I311" s="27" t="s">
        <v>653</v>
      </c>
      <c r="J311" s="5" t="s">
        <v>65</v>
      </c>
      <c r="K311" s="3" t="s">
        <v>663</v>
      </c>
      <c r="L311" s="27" t="str">
        <f>VLOOKUP(K311,[1]CódigosRetorno!$A$2:$B$1996,2,FALSE)</f>
        <v>Debe consignar informacion de los nombres del conductor</v>
      </c>
      <c r="M311" s="5" t="s">
        <v>67</v>
      </c>
      <c r="N311" s="5"/>
      <c r="O311" s="6"/>
    </row>
    <row r="312" spans="1:15" ht="36" x14ac:dyDescent="0.25">
      <c r="A312" s="6"/>
      <c r="B312" s="266"/>
      <c r="C312" s="267"/>
      <c r="D312" s="268"/>
      <c r="E312" s="269"/>
      <c r="F312" s="285"/>
      <c r="G312" s="288"/>
      <c r="H312" s="279"/>
      <c r="I312" s="27" t="s">
        <v>664</v>
      </c>
      <c r="J312" s="5" t="s">
        <v>65</v>
      </c>
      <c r="K312" s="3" t="s">
        <v>646</v>
      </c>
      <c r="L312" s="27" t="str">
        <f>VLOOKUP(K312,[1]CódigosRetorno!$A$2:$B$1996,2,FALSE)</f>
        <v>No debe ingresar informacion del conductor principal</v>
      </c>
      <c r="M312" s="5" t="s">
        <v>67</v>
      </c>
      <c r="N312" s="5"/>
      <c r="O312" s="6"/>
    </row>
    <row r="313" spans="1:15" ht="72" x14ac:dyDescent="0.25">
      <c r="A313" s="6"/>
      <c r="B313" s="266"/>
      <c r="C313" s="267"/>
      <c r="D313" s="268"/>
      <c r="E313" s="269"/>
      <c r="F313" s="285"/>
      <c r="G313" s="288"/>
      <c r="H313" s="279"/>
      <c r="I313" s="27" t="s">
        <v>655</v>
      </c>
      <c r="J313" s="5" t="s">
        <v>65</v>
      </c>
      <c r="K313" s="3" t="s">
        <v>646</v>
      </c>
      <c r="L313" s="27" t="str">
        <f>VLOOKUP(K313,[1]CódigosRetorno!$A$2:$B$1996,2,FALSE)</f>
        <v>No debe ingresar informacion del conductor principal</v>
      </c>
      <c r="M313" s="5" t="s">
        <v>67</v>
      </c>
      <c r="N313" s="5"/>
      <c r="O313" s="6"/>
    </row>
    <row r="314" spans="1:15" ht="84" x14ac:dyDescent="0.25">
      <c r="A314" s="6"/>
      <c r="B314" s="266"/>
      <c r="C314" s="267"/>
      <c r="D314" s="268"/>
      <c r="E314" s="269"/>
      <c r="F314" s="272"/>
      <c r="G314" s="288"/>
      <c r="H314" s="274"/>
      <c r="I314" s="27" t="s">
        <v>665</v>
      </c>
      <c r="J314" s="5" t="s">
        <v>111</v>
      </c>
      <c r="K314" s="3" t="s">
        <v>666</v>
      </c>
      <c r="L314" s="27" t="str">
        <f>VLOOKUP(K314,[1]CódigosRetorno!$A$2:$B$1996,2,FALSE)</f>
        <v>Los nombres y/o apellidos del conductor no cumplen con el formato establecido</v>
      </c>
      <c r="M314" s="5" t="s">
        <v>67</v>
      </c>
      <c r="N314" s="5"/>
      <c r="O314" s="6"/>
    </row>
    <row r="315" spans="1:15" ht="48" x14ac:dyDescent="0.25">
      <c r="A315" s="6"/>
      <c r="B315" s="266"/>
      <c r="C315" s="267"/>
      <c r="D315" s="268"/>
      <c r="E315" s="269"/>
      <c r="F315" s="271" t="s">
        <v>36</v>
      </c>
      <c r="G315" s="268"/>
      <c r="H315" s="273" t="s">
        <v>667</v>
      </c>
      <c r="I315" s="27" t="s">
        <v>651</v>
      </c>
      <c r="J315" s="5" t="s">
        <v>65</v>
      </c>
      <c r="K315" s="3" t="s">
        <v>668</v>
      </c>
      <c r="L315" s="27" t="str">
        <f>VLOOKUP(K315,[1]CódigosRetorno!$A$2:$B$1996,2,FALSE)</f>
        <v>Debe consignar informacion de los apellidos del conductor</v>
      </c>
      <c r="M315" s="5" t="s">
        <v>67</v>
      </c>
      <c r="N315" s="5"/>
      <c r="O315" s="6"/>
    </row>
    <row r="316" spans="1:15" ht="77.25" customHeight="1" x14ac:dyDescent="0.25">
      <c r="A316" s="6"/>
      <c r="B316" s="266"/>
      <c r="C316" s="267"/>
      <c r="D316" s="268"/>
      <c r="E316" s="269"/>
      <c r="F316" s="285"/>
      <c r="G316" s="268"/>
      <c r="H316" s="279"/>
      <c r="I316" s="27" t="s">
        <v>669</v>
      </c>
      <c r="J316" s="5" t="s">
        <v>65</v>
      </c>
      <c r="K316" s="3" t="s">
        <v>668</v>
      </c>
      <c r="L316" s="27" t="str">
        <f>VLOOKUP(K316,[1]CódigosRetorno!$A$2:$B$1996,2,FALSE)</f>
        <v>Debe consignar informacion de los apellidos del conductor</v>
      </c>
      <c r="M316" s="5" t="s">
        <v>67</v>
      </c>
      <c r="N316" s="5"/>
      <c r="O316" s="6"/>
    </row>
    <row r="317" spans="1:15" ht="36" x14ac:dyDescent="0.25">
      <c r="A317" s="6"/>
      <c r="B317" s="266"/>
      <c r="C317" s="267"/>
      <c r="D317" s="268"/>
      <c r="E317" s="269"/>
      <c r="F317" s="285"/>
      <c r="G317" s="268"/>
      <c r="H317" s="279"/>
      <c r="I317" s="27" t="s">
        <v>664</v>
      </c>
      <c r="J317" s="5" t="s">
        <v>65</v>
      </c>
      <c r="K317" s="3" t="s">
        <v>646</v>
      </c>
      <c r="L317" s="27" t="str">
        <f>VLOOKUP(K317,[1]CódigosRetorno!$A$2:$B$1996,2,FALSE)</f>
        <v>No debe ingresar informacion del conductor principal</v>
      </c>
      <c r="M317" s="5" t="s">
        <v>67</v>
      </c>
      <c r="N317" s="5"/>
      <c r="O317" s="6"/>
    </row>
    <row r="318" spans="1:15" ht="72" x14ac:dyDescent="0.25">
      <c r="A318" s="6"/>
      <c r="B318" s="266"/>
      <c r="C318" s="267"/>
      <c r="D318" s="268"/>
      <c r="E318" s="269"/>
      <c r="F318" s="285"/>
      <c r="G318" s="268"/>
      <c r="H318" s="279"/>
      <c r="I318" s="27" t="s">
        <v>655</v>
      </c>
      <c r="J318" s="5" t="s">
        <v>65</v>
      </c>
      <c r="K318" s="3" t="s">
        <v>646</v>
      </c>
      <c r="L318" s="27" t="str">
        <f>VLOOKUP(K318,[1]CódigosRetorno!$A$2:$B$1996,2,FALSE)</f>
        <v>No debe ingresar informacion del conductor principal</v>
      </c>
      <c r="M318" s="5" t="s">
        <v>67</v>
      </c>
      <c r="N318" s="5"/>
      <c r="O318" s="6"/>
    </row>
    <row r="319" spans="1:15" ht="84" x14ac:dyDescent="0.25">
      <c r="A319" s="6"/>
      <c r="B319" s="266"/>
      <c r="C319" s="267"/>
      <c r="D319" s="268"/>
      <c r="E319" s="269"/>
      <c r="F319" s="272"/>
      <c r="G319" s="268"/>
      <c r="H319" s="274"/>
      <c r="I319" s="27" t="s">
        <v>665</v>
      </c>
      <c r="J319" s="5" t="s">
        <v>111</v>
      </c>
      <c r="K319" s="3" t="s">
        <v>666</v>
      </c>
      <c r="L319" s="27" t="str">
        <f>VLOOKUP(K319,[1]CódigosRetorno!$A$2:$B$1996,2,FALSE)</f>
        <v>Los nombres y/o apellidos del conductor no cumplen con el formato establecido</v>
      </c>
      <c r="M319" s="5" t="s">
        <v>67</v>
      </c>
      <c r="N319" s="5"/>
      <c r="O319" s="6"/>
    </row>
    <row r="320" spans="1:15" ht="48" x14ac:dyDescent="0.25">
      <c r="A320" s="6"/>
      <c r="B320" s="266">
        <f>B310+1</f>
        <v>55</v>
      </c>
      <c r="C320" s="267" t="s">
        <v>670</v>
      </c>
      <c r="D320" s="268" t="s">
        <v>61</v>
      </c>
      <c r="E320" s="269" t="s">
        <v>15</v>
      </c>
      <c r="F320" s="269" t="s">
        <v>8</v>
      </c>
      <c r="G320" s="268"/>
      <c r="H320" s="265" t="s">
        <v>671</v>
      </c>
      <c r="I320" s="27" t="s">
        <v>651</v>
      </c>
      <c r="J320" s="3" t="s">
        <v>65</v>
      </c>
      <c r="K320" s="36" t="s">
        <v>672</v>
      </c>
      <c r="L320" s="27" t="str">
        <f>VLOOKUP(K320,[1]CódigosRetorno!$A$2:$B$1996,2,FALSE)</f>
        <v>El XML no contiene el tag o no existe informacion del Numero de licencia del conductor.</v>
      </c>
      <c r="M320" s="5" t="s">
        <v>67</v>
      </c>
      <c r="N320" s="5"/>
      <c r="O320" s="6"/>
    </row>
    <row r="321" spans="1:15" ht="72" x14ac:dyDescent="0.25">
      <c r="A321" s="6"/>
      <c r="B321" s="266"/>
      <c r="C321" s="267"/>
      <c r="D321" s="268"/>
      <c r="E321" s="269"/>
      <c r="F321" s="269"/>
      <c r="G321" s="268"/>
      <c r="H321" s="265"/>
      <c r="I321" s="27" t="s">
        <v>653</v>
      </c>
      <c r="J321" s="5" t="s">
        <v>65</v>
      </c>
      <c r="K321" s="36" t="s">
        <v>672</v>
      </c>
      <c r="L321" s="27" t="str">
        <f>VLOOKUP(K321,[1]CódigosRetorno!$A$2:$B$1996,2,FALSE)</f>
        <v>El XML no contiene el tag o no existe informacion del Numero de licencia del conductor.</v>
      </c>
      <c r="M321" s="5" t="s">
        <v>67</v>
      </c>
      <c r="N321" s="5"/>
      <c r="O321" s="6"/>
    </row>
    <row r="322" spans="1:15" ht="36" x14ac:dyDescent="0.25">
      <c r="A322" s="6"/>
      <c r="B322" s="266"/>
      <c r="C322" s="267"/>
      <c r="D322" s="268"/>
      <c r="E322" s="269"/>
      <c r="F322" s="269"/>
      <c r="G322" s="268"/>
      <c r="H322" s="265"/>
      <c r="I322" s="27" t="s">
        <v>664</v>
      </c>
      <c r="J322" s="5" t="s">
        <v>65</v>
      </c>
      <c r="K322" s="3" t="s">
        <v>646</v>
      </c>
      <c r="L322" s="27" t="str">
        <f>VLOOKUP(K322,[1]CódigosRetorno!$A$2:$B$1996,2,FALSE)</f>
        <v>No debe ingresar informacion del conductor principal</v>
      </c>
      <c r="M322" s="5" t="s">
        <v>67</v>
      </c>
      <c r="N322" s="5"/>
      <c r="O322" s="6"/>
    </row>
    <row r="323" spans="1:15" ht="72" x14ac:dyDescent="0.25">
      <c r="A323" s="6"/>
      <c r="B323" s="266"/>
      <c r="C323" s="267"/>
      <c r="D323" s="268"/>
      <c r="E323" s="269"/>
      <c r="F323" s="269"/>
      <c r="G323" s="268"/>
      <c r="H323" s="265"/>
      <c r="I323" s="27" t="s">
        <v>655</v>
      </c>
      <c r="J323" s="5" t="s">
        <v>65</v>
      </c>
      <c r="K323" s="3" t="s">
        <v>646</v>
      </c>
      <c r="L323" s="27" t="str">
        <f>VLOOKUP(K323,[1]CódigosRetorno!$A$2:$B$1996,2,FALSE)</f>
        <v>No debe ingresar informacion del conductor principal</v>
      </c>
      <c r="M323" s="5" t="s">
        <v>67</v>
      </c>
      <c r="N323" s="5"/>
      <c r="O323" s="6"/>
    </row>
    <row r="324" spans="1:15" ht="48" x14ac:dyDescent="0.25">
      <c r="A324" s="6"/>
      <c r="B324" s="266"/>
      <c r="C324" s="267"/>
      <c r="D324" s="268"/>
      <c r="E324" s="269"/>
      <c r="F324" s="269"/>
      <c r="G324" s="268"/>
      <c r="H324" s="265"/>
      <c r="I324" s="27" t="s">
        <v>673</v>
      </c>
      <c r="J324" s="3" t="s">
        <v>65</v>
      </c>
      <c r="K324" s="36" t="s">
        <v>674</v>
      </c>
      <c r="L324" s="27" t="str">
        <f>VLOOKUP(K324,[1]CódigosRetorno!$A$2:$B$1996,2,FALSE)</f>
        <v>Numero de licencia del conductor - El dato ingresado no cumple con el formato establecido.</v>
      </c>
      <c r="M324" s="5" t="s">
        <v>67</v>
      </c>
      <c r="N324" s="5"/>
      <c r="O324" s="6"/>
    </row>
    <row r="325" spans="1:15" ht="36" x14ac:dyDescent="0.25">
      <c r="A325" s="6"/>
      <c r="B325" s="266"/>
      <c r="C325" s="267"/>
      <c r="D325" s="268"/>
      <c r="E325" s="269"/>
      <c r="F325" s="269"/>
      <c r="G325" s="268"/>
      <c r="H325" s="265"/>
      <c r="I325" s="27" t="s">
        <v>675</v>
      </c>
      <c r="J325" s="3" t="s">
        <v>111</v>
      </c>
      <c r="K325" s="3" t="s">
        <v>676</v>
      </c>
      <c r="L325" s="27" t="str">
        <f>VLOOKUP(K325,[1]CódigosRetorno!$A$2:$B$1996,2,FALSE)</f>
        <v>El Numero de licencia de conducir no se encuentra en las bases consultadas</v>
      </c>
      <c r="M325" s="5" t="s">
        <v>85</v>
      </c>
      <c r="N325" s="5" t="s">
        <v>677</v>
      </c>
      <c r="O325" s="6"/>
    </row>
    <row r="326" spans="1:15" x14ac:dyDescent="0.25">
      <c r="A326" s="6"/>
      <c r="B326" s="38" t="s">
        <v>678</v>
      </c>
      <c r="C326" s="39"/>
      <c r="D326" s="23"/>
      <c r="E326" s="23"/>
      <c r="F326" s="23"/>
      <c r="G326" s="24"/>
      <c r="H326" s="25"/>
      <c r="I326" s="23"/>
      <c r="J326" s="23"/>
      <c r="K326" s="23"/>
      <c r="L326" s="23"/>
      <c r="M326" s="23"/>
      <c r="N326" s="26"/>
      <c r="O326" s="6"/>
    </row>
    <row r="327" spans="1:15" ht="48" x14ac:dyDescent="0.25">
      <c r="A327" s="6"/>
      <c r="B327" s="36">
        <f>B320+1</f>
        <v>56</v>
      </c>
      <c r="C327" s="184" t="s">
        <v>631</v>
      </c>
      <c r="D327" s="5" t="s">
        <v>61</v>
      </c>
      <c r="E327" s="188" t="s">
        <v>15</v>
      </c>
      <c r="F327" s="190" t="s">
        <v>16</v>
      </c>
      <c r="G327" s="190" t="s">
        <v>679</v>
      </c>
      <c r="H327" s="189" t="s">
        <v>634</v>
      </c>
      <c r="I327" s="27" t="s">
        <v>680</v>
      </c>
      <c r="J327" s="5" t="s">
        <v>65</v>
      </c>
      <c r="K327" s="3" t="s">
        <v>681</v>
      </c>
      <c r="L327" s="27" t="str">
        <f>VLOOKUP(K327,[1]CódigosRetorno!$A$2:$B$1996,2,FALSE)</f>
        <v>No debe repetirse la informacion de conductores</v>
      </c>
      <c r="M327" s="28" t="s">
        <v>67</v>
      </c>
      <c r="N327" s="28"/>
      <c r="O327" s="6"/>
    </row>
    <row r="328" spans="1:15" ht="50.45" customHeight="1" x14ac:dyDescent="0.25">
      <c r="A328" s="6"/>
      <c r="B328" s="295">
        <f>B327+1</f>
        <v>57</v>
      </c>
      <c r="C328" s="273" t="s">
        <v>640</v>
      </c>
      <c r="D328" s="287" t="s">
        <v>61</v>
      </c>
      <c r="E328" s="271" t="s">
        <v>15</v>
      </c>
      <c r="F328" s="271" t="s">
        <v>17</v>
      </c>
      <c r="G328" s="269" t="s">
        <v>273</v>
      </c>
      <c r="H328" s="265" t="s">
        <v>641</v>
      </c>
      <c r="I328" s="27" t="s">
        <v>682</v>
      </c>
      <c r="J328" s="5" t="s">
        <v>65</v>
      </c>
      <c r="K328" s="28" t="s">
        <v>643</v>
      </c>
      <c r="L328" s="27" t="str">
        <f>VLOOKUP(K328,[1]CódigosRetorno!$A$2:$B$1996,2,FALSE)</f>
        <v>El XML no contiene el tag o no existe informacion del tipo de documento identidad del conductor.</v>
      </c>
      <c r="M328" s="5" t="s">
        <v>67</v>
      </c>
      <c r="N328" s="5"/>
      <c r="O328" s="6"/>
    </row>
    <row r="329" spans="1:15" ht="50.45" customHeight="1" x14ac:dyDescent="0.25">
      <c r="A329" s="6"/>
      <c r="B329" s="296"/>
      <c r="C329" s="279"/>
      <c r="D329" s="288"/>
      <c r="E329" s="285"/>
      <c r="F329" s="285"/>
      <c r="G329" s="269"/>
      <c r="H329" s="265"/>
      <c r="I329" s="27" t="s">
        <v>683</v>
      </c>
      <c r="J329" s="5" t="s">
        <v>65</v>
      </c>
      <c r="K329" s="28" t="s">
        <v>643</v>
      </c>
      <c r="L329" s="27" t="str">
        <f>VLOOKUP(K329,[1]CódigosRetorno!$A$2:$B$1996,2,FALSE)</f>
        <v>El XML no contiene el tag o no existe informacion del tipo de documento identidad del conductor.</v>
      </c>
      <c r="M329" s="5" t="s">
        <v>67</v>
      </c>
      <c r="N329" s="5"/>
      <c r="O329" s="6"/>
    </row>
    <row r="330" spans="1:15" ht="36" x14ac:dyDescent="0.25">
      <c r="A330" s="6"/>
      <c r="B330" s="296"/>
      <c r="C330" s="279"/>
      <c r="D330" s="288"/>
      <c r="E330" s="285"/>
      <c r="F330" s="285"/>
      <c r="G330" s="269"/>
      <c r="H330" s="265"/>
      <c r="I330" s="27" t="s">
        <v>684</v>
      </c>
      <c r="J330" s="5" t="s">
        <v>65</v>
      </c>
      <c r="K330" s="30" t="s">
        <v>685</v>
      </c>
      <c r="L330" s="27" t="str">
        <f>VLOOKUP(K330,[1]CódigosRetorno!$A$2:$B$1996,2,FALSE)</f>
        <v>No debe ingresar informacion del conductores secundarios</v>
      </c>
      <c r="M330" s="5" t="s">
        <v>67</v>
      </c>
      <c r="N330" s="5"/>
      <c r="O330" s="6"/>
    </row>
    <row r="331" spans="1:15" ht="72" x14ac:dyDescent="0.25">
      <c r="A331" s="6"/>
      <c r="B331" s="296"/>
      <c r="C331" s="279"/>
      <c r="D331" s="288"/>
      <c r="E331" s="285"/>
      <c r="F331" s="285"/>
      <c r="G331" s="269"/>
      <c r="H331" s="265"/>
      <c r="I331" s="27" t="s">
        <v>686</v>
      </c>
      <c r="J331" s="5" t="s">
        <v>65</v>
      </c>
      <c r="K331" s="30" t="s">
        <v>685</v>
      </c>
      <c r="L331" s="27" t="str">
        <f>VLOOKUP(K331,[1]CódigosRetorno!$A$2:$B$1996,2,FALSE)</f>
        <v>No debe ingresar informacion del conductores secundarios</v>
      </c>
      <c r="M331" s="5" t="s">
        <v>67</v>
      </c>
      <c r="N331" s="5"/>
      <c r="O331" s="6"/>
    </row>
    <row r="332" spans="1:15" ht="60" x14ac:dyDescent="0.25">
      <c r="A332" s="6"/>
      <c r="B332" s="296"/>
      <c r="C332" s="279"/>
      <c r="D332" s="288"/>
      <c r="E332" s="285"/>
      <c r="F332" s="285"/>
      <c r="G332" s="269"/>
      <c r="H332" s="265"/>
      <c r="I332" s="27" t="s">
        <v>687</v>
      </c>
      <c r="J332" s="5" t="s">
        <v>65</v>
      </c>
      <c r="K332" s="5" t="s">
        <v>649</v>
      </c>
      <c r="L332" s="27" t="str">
        <f>VLOOKUP(K332,[1]CódigosRetorno!$A$2:$B$1996,2,FALSE)</f>
        <v>cac:DriverPerson/ID@schemeID - El valor ingresado de tipo de documento identidad de conductor es incorrecto.</v>
      </c>
      <c r="M332" s="5" t="s">
        <v>67</v>
      </c>
      <c r="N332" s="5" t="s">
        <v>279</v>
      </c>
      <c r="O332" s="6"/>
    </row>
    <row r="333" spans="1:15" ht="60" x14ac:dyDescent="0.25">
      <c r="A333" s="6"/>
      <c r="B333" s="296"/>
      <c r="C333" s="279"/>
      <c r="D333" s="288"/>
      <c r="E333" s="285"/>
      <c r="F333" s="272"/>
      <c r="G333" s="269"/>
      <c r="H333" s="265"/>
      <c r="I333" s="27" t="s">
        <v>688</v>
      </c>
      <c r="J333" s="5" t="s">
        <v>65</v>
      </c>
      <c r="K333" s="5" t="s">
        <v>649</v>
      </c>
      <c r="L333" s="27" t="str">
        <f>VLOOKUP(K333,[1]CódigosRetorno!$A$2:$B$1996,2,FALSE)</f>
        <v>cac:DriverPerson/ID@schemeID - El valor ingresado de tipo de documento identidad de conductor es incorrecto.</v>
      </c>
      <c r="M333" s="5" t="s">
        <v>67</v>
      </c>
      <c r="N333" s="5"/>
      <c r="O333" s="6"/>
    </row>
    <row r="334" spans="1:15" ht="24" x14ac:dyDescent="0.25">
      <c r="A334" s="6"/>
      <c r="B334" s="296"/>
      <c r="C334" s="279"/>
      <c r="D334" s="288"/>
      <c r="E334" s="285"/>
      <c r="F334" s="287"/>
      <c r="G334" s="190" t="s">
        <v>133</v>
      </c>
      <c r="H334" s="189" t="s">
        <v>134</v>
      </c>
      <c r="I334" s="33" t="s">
        <v>135</v>
      </c>
      <c r="J334" s="5" t="s">
        <v>111</v>
      </c>
      <c r="K334" s="3" t="s">
        <v>136</v>
      </c>
      <c r="L334" s="27" t="str">
        <f>VLOOKUP(K334,[1]CódigosRetorno!$A$2:$B$1996,2,FALSE)</f>
        <v>El dato ingresado como atributo @schemeName es incorrecto.</v>
      </c>
      <c r="M334" s="5" t="s">
        <v>67</v>
      </c>
      <c r="N334" s="5"/>
      <c r="O334" s="6"/>
    </row>
    <row r="335" spans="1:15" ht="24" x14ac:dyDescent="0.25">
      <c r="A335" s="6"/>
      <c r="B335" s="296"/>
      <c r="C335" s="279"/>
      <c r="D335" s="288"/>
      <c r="E335" s="285"/>
      <c r="F335" s="288"/>
      <c r="G335" s="190" t="s">
        <v>108</v>
      </c>
      <c r="H335" s="189" t="s">
        <v>137</v>
      </c>
      <c r="I335" s="33" t="s">
        <v>110</v>
      </c>
      <c r="J335" s="5" t="s">
        <v>111</v>
      </c>
      <c r="K335" s="3" t="s">
        <v>138</v>
      </c>
      <c r="L335" s="27" t="str">
        <f>VLOOKUP(K335,[1]CódigosRetorno!$A$2:$B$1996,2,FALSE)</f>
        <v>El dato ingresado como atributo @schemeAgencyName es incorrecto.</v>
      </c>
      <c r="M335" s="5" t="s">
        <v>67</v>
      </c>
      <c r="N335" s="5"/>
      <c r="O335" s="6"/>
    </row>
    <row r="336" spans="1:15" ht="36" x14ac:dyDescent="0.25">
      <c r="A336" s="6"/>
      <c r="B336" s="296"/>
      <c r="C336" s="279"/>
      <c r="D336" s="288"/>
      <c r="E336" s="285"/>
      <c r="F336" s="291"/>
      <c r="G336" s="190" t="s">
        <v>139</v>
      </c>
      <c r="H336" s="189" t="s">
        <v>140</v>
      </c>
      <c r="I336" s="33" t="s">
        <v>141</v>
      </c>
      <c r="J336" s="5" t="s">
        <v>111</v>
      </c>
      <c r="K336" s="3" t="s">
        <v>142</v>
      </c>
      <c r="L336" s="27" t="str">
        <f>VLOOKUP(K336,[1]CódigosRetorno!$A$2:$B$1996,2,FALSE)</f>
        <v>El dato ingresado como atributo @schemeURI es incorrecto.</v>
      </c>
      <c r="M336" s="5" t="s">
        <v>67</v>
      </c>
      <c r="N336" s="5"/>
      <c r="O336" s="6"/>
    </row>
    <row r="337" spans="1:15" ht="51" customHeight="1" x14ac:dyDescent="0.25">
      <c r="A337" s="6"/>
      <c r="B337" s="296"/>
      <c r="C337" s="279"/>
      <c r="D337" s="288"/>
      <c r="E337" s="285"/>
      <c r="F337" s="269" t="s">
        <v>18</v>
      </c>
      <c r="G337" s="292"/>
      <c r="H337" s="265" t="s">
        <v>650</v>
      </c>
      <c r="I337" s="27" t="s">
        <v>689</v>
      </c>
      <c r="J337" s="5" t="s">
        <v>65</v>
      </c>
      <c r="K337" s="3" t="s">
        <v>652</v>
      </c>
      <c r="L337" s="27" t="str">
        <f>VLOOKUP(K337,[1]CódigosRetorno!$A$2:$B$1996,2,FALSE)</f>
        <v>El XML no contiene el tag o no existe informacion en el Numero de documento de identidad del conductor.</v>
      </c>
      <c r="M337" s="5" t="s">
        <v>67</v>
      </c>
      <c r="N337" s="5"/>
      <c r="O337" s="6"/>
    </row>
    <row r="338" spans="1:15" ht="84" x14ac:dyDescent="0.25">
      <c r="A338" s="6"/>
      <c r="B338" s="296"/>
      <c r="C338" s="279"/>
      <c r="D338" s="288"/>
      <c r="E338" s="285"/>
      <c r="F338" s="269"/>
      <c r="G338" s="292"/>
      <c r="H338" s="265"/>
      <c r="I338" s="27" t="s">
        <v>690</v>
      </c>
      <c r="J338" s="5" t="s">
        <v>65</v>
      </c>
      <c r="K338" s="3" t="s">
        <v>652</v>
      </c>
      <c r="L338" s="27" t="str">
        <f>VLOOKUP(K338,[1]CódigosRetorno!$A$2:$B$1996,2,FALSE)</f>
        <v>El XML no contiene el tag o no existe informacion en el Numero de documento de identidad del conductor.</v>
      </c>
      <c r="M338" s="5" t="s">
        <v>67</v>
      </c>
      <c r="N338" s="5"/>
      <c r="O338" s="6"/>
    </row>
    <row r="339" spans="1:15" ht="51" customHeight="1" x14ac:dyDescent="0.25">
      <c r="A339" s="6"/>
      <c r="B339" s="296"/>
      <c r="C339" s="279"/>
      <c r="D339" s="288"/>
      <c r="E339" s="285"/>
      <c r="F339" s="269"/>
      <c r="G339" s="292"/>
      <c r="H339" s="265"/>
      <c r="I339" s="27" t="s">
        <v>691</v>
      </c>
      <c r="J339" s="3" t="s">
        <v>65</v>
      </c>
      <c r="K339" s="3" t="s">
        <v>652</v>
      </c>
      <c r="L339" s="27" t="str">
        <f>VLOOKUP(K339,[1]CódigosRetorno!$A$2:$B$1996,2,FALSE)</f>
        <v>El XML no contiene el tag o no existe informacion en el Numero de documento de identidad del conductor.</v>
      </c>
      <c r="M339" s="5" t="s">
        <v>67</v>
      </c>
      <c r="N339" s="5"/>
      <c r="O339" s="6"/>
    </row>
    <row r="340" spans="1:15" ht="84" x14ac:dyDescent="0.25">
      <c r="A340" s="6"/>
      <c r="B340" s="296"/>
      <c r="C340" s="279"/>
      <c r="D340" s="288"/>
      <c r="E340" s="285"/>
      <c r="F340" s="269"/>
      <c r="G340" s="292"/>
      <c r="H340" s="265"/>
      <c r="I340" s="27" t="s">
        <v>692</v>
      </c>
      <c r="J340" s="3" t="s">
        <v>65</v>
      </c>
      <c r="K340" s="3" t="s">
        <v>652</v>
      </c>
      <c r="L340" s="27" t="str">
        <f>VLOOKUP(K340,[1]CódigosRetorno!$A$2:$B$1996,2,FALSE)</f>
        <v>El XML no contiene el tag o no existe informacion en el Numero de documento de identidad del conductor.</v>
      </c>
      <c r="M340" s="5" t="s">
        <v>67</v>
      </c>
      <c r="N340" s="5"/>
      <c r="O340" s="6"/>
    </row>
    <row r="341" spans="1:15" ht="51" customHeight="1" x14ac:dyDescent="0.25">
      <c r="A341" s="6"/>
      <c r="B341" s="296"/>
      <c r="C341" s="279"/>
      <c r="D341" s="288"/>
      <c r="E341" s="285"/>
      <c r="F341" s="269"/>
      <c r="G341" s="292"/>
      <c r="H341" s="265"/>
      <c r="I341" s="27" t="s">
        <v>693</v>
      </c>
      <c r="J341" s="5" t="s">
        <v>65</v>
      </c>
      <c r="K341" s="30" t="s">
        <v>685</v>
      </c>
      <c r="L341" s="27" t="str">
        <f>VLOOKUP(K341,[1]CódigosRetorno!$A$2:$B$1996,2,FALSE)</f>
        <v>No debe ingresar informacion del conductores secundarios</v>
      </c>
      <c r="M341" s="5" t="s">
        <v>67</v>
      </c>
      <c r="N341" s="5"/>
      <c r="O341" s="6"/>
    </row>
    <row r="342" spans="1:15" ht="51" customHeight="1" x14ac:dyDescent="0.25">
      <c r="A342" s="6"/>
      <c r="B342" s="296"/>
      <c r="C342" s="279"/>
      <c r="D342" s="288"/>
      <c r="E342" s="285"/>
      <c r="F342" s="269"/>
      <c r="G342" s="292"/>
      <c r="H342" s="265"/>
      <c r="I342" s="27" t="s">
        <v>694</v>
      </c>
      <c r="J342" s="5" t="s">
        <v>65</v>
      </c>
      <c r="K342" s="30" t="s">
        <v>685</v>
      </c>
      <c r="L342" s="27" t="str">
        <f>VLOOKUP(K342,[1]CódigosRetorno!$A$2:$B$1996,2,FALSE)</f>
        <v>No debe ingresar informacion del conductores secundarios</v>
      </c>
      <c r="M342" s="5" t="s">
        <v>67</v>
      </c>
      <c r="N342" s="5"/>
      <c r="O342" s="6"/>
    </row>
    <row r="343" spans="1:15" ht="36" x14ac:dyDescent="0.25">
      <c r="A343" s="6"/>
      <c r="B343" s="296"/>
      <c r="C343" s="279"/>
      <c r="D343" s="288"/>
      <c r="E343" s="285"/>
      <c r="F343" s="269"/>
      <c r="G343" s="292"/>
      <c r="H343" s="265"/>
      <c r="I343" s="27" t="s">
        <v>695</v>
      </c>
      <c r="J343" s="5" t="s">
        <v>65</v>
      </c>
      <c r="K343" s="3" t="s">
        <v>657</v>
      </c>
      <c r="L343" s="27" t="str">
        <f>VLOOKUP(K343,[1]CódigosRetorno!$A$2:$B$1996,2,FALSE)</f>
        <v>Documento identidad del conductor - El dato ingresado no cumple con el formato establecido.</v>
      </c>
      <c r="M343" s="5" t="s">
        <v>67</v>
      </c>
      <c r="N343" s="5"/>
      <c r="O343" s="6"/>
    </row>
    <row r="344" spans="1:15" ht="36" x14ac:dyDescent="0.25">
      <c r="A344" s="6"/>
      <c r="B344" s="296"/>
      <c r="C344" s="279"/>
      <c r="D344" s="288"/>
      <c r="E344" s="285"/>
      <c r="F344" s="269"/>
      <c r="G344" s="292"/>
      <c r="H344" s="265"/>
      <c r="I344" s="27" t="s">
        <v>696</v>
      </c>
      <c r="J344" s="5" t="s">
        <v>65</v>
      </c>
      <c r="K344" s="3" t="s">
        <v>659</v>
      </c>
      <c r="L344" s="27" t="str">
        <f>VLOOKUP(K344,[1]CódigosRetorno!$A$2:$B$1996,2,FALSE)</f>
        <v>El numero de DNI del conductor no existe</v>
      </c>
      <c r="M344" s="5" t="s">
        <v>85</v>
      </c>
      <c r="N344" s="5" t="s">
        <v>302</v>
      </c>
      <c r="O344" s="6"/>
    </row>
    <row r="345" spans="1:15" ht="72" x14ac:dyDescent="0.25">
      <c r="A345" s="6"/>
      <c r="B345" s="296"/>
      <c r="C345" s="274"/>
      <c r="D345" s="291"/>
      <c r="E345" s="272"/>
      <c r="F345" s="269"/>
      <c r="G345" s="292"/>
      <c r="H345" s="265"/>
      <c r="I345" s="27" t="s">
        <v>697</v>
      </c>
      <c r="J345" s="5" t="s">
        <v>65</v>
      </c>
      <c r="K345" s="3" t="s">
        <v>657</v>
      </c>
      <c r="L345" s="27" t="str">
        <f>VLOOKUP(K345,[1]CódigosRetorno!$A$2:$B$1996,2,FALSE)</f>
        <v>Documento identidad del conductor - El dato ingresado no cumple con el formato establecido.</v>
      </c>
      <c r="M345" s="5" t="s">
        <v>67</v>
      </c>
      <c r="N345" s="5"/>
      <c r="O345" s="6"/>
    </row>
    <row r="346" spans="1:15" ht="72" x14ac:dyDescent="0.25">
      <c r="A346" s="6"/>
      <c r="B346" s="266">
        <f>B328+1</f>
        <v>58</v>
      </c>
      <c r="C346" s="298" t="s">
        <v>661</v>
      </c>
      <c r="D346" s="287" t="s">
        <v>61</v>
      </c>
      <c r="E346" s="271" t="s">
        <v>15</v>
      </c>
      <c r="F346" s="271" t="s">
        <v>36</v>
      </c>
      <c r="G346" s="287"/>
      <c r="H346" s="273" t="s">
        <v>662</v>
      </c>
      <c r="I346" s="27" t="s">
        <v>691</v>
      </c>
      <c r="J346" s="5" t="s">
        <v>65</v>
      </c>
      <c r="K346" s="3" t="s">
        <v>663</v>
      </c>
      <c r="L346" s="27" t="str">
        <f>VLOOKUP(K346,[1]CódigosRetorno!$A$2:$B$1996,2,FALSE)</f>
        <v>Debe consignar informacion de los nombres del conductor</v>
      </c>
      <c r="M346" s="5" t="s">
        <v>67</v>
      </c>
      <c r="N346" s="5"/>
      <c r="O346" s="6"/>
    </row>
    <row r="347" spans="1:15" ht="84" x14ac:dyDescent="0.25">
      <c r="A347" s="6"/>
      <c r="B347" s="266"/>
      <c r="C347" s="301"/>
      <c r="D347" s="288"/>
      <c r="E347" s="285"/>
      <c r="F347" s="285"/>
      <c r="G347" s="288"/>
      <c r="H347" s="279"/>
      <c r="I347" s="27" t="s">
        <v>692</v>
      </c>
      <c r="J347" s="5" t="s">
        <v>65</v>
      </c>
      <c r="K347" s="3" t="s">
        <v>663</v>
      </c>
      <c r="L347" s="27" t="str">
        <f>VLOOKUP(K347,[1]CódigosRetorno!$A$2:$B$1996,2,FALSE)</f>
        <v>Debe consignar informacion de los nombres del conductor</v>
      </c>
      <c r="M347" s="5" t="s">
        <v>67</v>
      </c>
      <c r="N347" s="5"/>
      <c r="O347" s="6"/>
    </row>
    <row r="348" spans="1:15" ht="36" x14ac:dyDescent="0.25">
      <c r="A348" s="6"/>
      <c r="B348" s="266"/>
      <c r="C348" s="301"/>
      <c r="D348" s="288"/>
      <c r="E348" s="285"/>
      <c r="F348" s="285"/>
      <c r="G348" s="288"/>
      <c r="H348" s="279"/>
      <c r="I348" s="27" t="s">
        <v>693</v>
      </c>
      <c r="J348" s="5" t="s">
        <v>65</v>
      </c>
      <c r="K348" s="30" t="s">
        <v>685</v>
      </c>
      <c r="L348" s="27" t="str">
        <f>VLOOKUP(K348,[1]CódigosRetorno!$A$2:$B$1996,2,FALSE)</f>
        <v>No debe ingresar informacion del conductores secundarios</v>
      </c>
      <c r="M348" s="5" t="s">
        <v>67</v>
      </c>
      <c r="N348" s="5"/>
      <c r="O348" s="6"/>
    </row>
    <row r="349" spans="1:15" ht="72" x14ac:dyDescent="0.25">
      <c r="A349" s="6"/>
      <c r="B349" s="266"/>
      <c r="C349" s="301"/>
      <c r="D349" s="288"/>
      <c r="E349" s="285"/>
      <c r="F349" s="285"/>
      <c r="G349" s="288"/>
      <c r="H349" s="279"/>
      <c r="I349" s="27" t="s">
        <v>694</v>
      </c>
      <c r="J349" s="5" t="s">
        <v>65</v>
      </c>
      <c r="K349" s="30" t="s">
        <v>685</v>
      </c>
      <c r="L349" s="27" t="str">
        <f>VLOOKUP(K349,[1]CódigosRetorno!$A$2:$B$1996,2,FALSE)</f>
        <v>No debe ingresar informacion del conductores secundarios</v>
      </c>
      <c r="M349" s="5" t="s">
        <v>67</v>
      </c>
      <c r="N349" s="5"/>
      <c r="O349" s="6"/>
    </row>
    <row r="350" spans="1:15" ht="84" x14ac:dyDescent="0.25">
      <c r="A350" s="6"/>
      <c r="B350" s="266"/>
      <c r="C350" s="301"/>
      <c r="D350" s="288"/>
      <c r="E350" s="285"/>
      <c r="F350" s="272"/>
      <c r="G350" s="291"/>
      <c r="H350" s="274"/>
      <c r="I350" s="27" t="s">
        <v>698</v>
      </c>
      <c r="J350" s="5" t="s">
        <v>111</v>
      </c>
      <c r="K350" s="3" t="s">
        <v>666</v>
      </c>
      <c r="L350" s="27" t="str">
        <f>VLOOKUP(K350,[1]CódigosRetorno!$A$2:$B$1996,2,FALSE)</f>
        <v>Los nombres y/o apellidos del conductor no cumplen con el formato establecido</v>
      </c>
      <c r="M350" s="5" t="s">
        <v>67</v>
      </c>
      <c r="N350" s="5"/>
      <c r="O350" s="6"/>
    </row>
    <row r="351" spans="1:15" ht="72" x14ac:dyDescent="0.25">
      <c r="A351" s="6"/>
      <c r="B351" s="266"/>
      <c r="C351" s="301"/>
      <c r="D351" s="288"/>
      <c r="E351" s="285"/>
      <c r="F351" s="271" t="s">
        <v>36</v>
      </c>
      <c r="G351" s="287"/>
      <c r="H351" s="273" t="s">
        <v>667</v>
      </c>
      <c r="I351" s="27" t="s">
        <v>691</v>
      </c>
      <c r="J351" s="5" t="s">
        <v>65</v>
      </c>
      <c r="K351" s="3" t="s">
        <v>668</v>
      </c>
      <c r="L351" s="27" t="str">
        <f>VLOOKUP(K351,[1]CódigosRetorno!$A$2:$B$1996,2,FALSE)</f>
        <v>Debe consignar informacion de los apellidos del conductor</v>
      </c>
      <c r="M351" s="5" t="s">
        <v>67</v>
      </c>
      <c r="N351" s="5"/>
      <c r="O351" s="6"/>
    </row>
    <row r="352" spans="1:15" ht="84" x14ac:dyDescent="0.25">
      <c r="A352" s="6"/>
      <c r="B352" s="266"/>
      <c r="C352" s="301"/>
      <c r="D352" s="288"/>
      <c r="E352" s="285"/>
      <c r="F352" s="285"/>
      <c r="G352" s="288"/>
      <c r="H352" s="279"/>
      <c r="I352" s="27" t="s">
        <v>692</v>
      </c>
      <c r="J352" s="5" t="s">
        <v>65</v>
      </c>
      <c r="K352" s="3" t="s">
        <v>668</v>
      </c>
      <c r="L352" s="27" t="str">
        <f>VLOOKUP(K352,[1]CódigosRetorno!$A$2:$B$1996,2,FALSE)</f>
        <v>Debe consignar informacion de los apellidos del conductor</v>
      </c>
      <c r="M352" s="5" t="s">
        <v>67</v>
      </c>
      <c r="N352" s="5"/>
      <c r="O352" s="6"/>
    </row>
    <row r="353" spans="1:15" ht="36" x14ac:dyDescent="0.25">
      <c r="A353" s="6"/>
      <c r="B353" s="266"/>
      <c r="C353" s="301"/>
      <c r="D353" s="288"/>
      <c r="E353" s="285"/>
      <c r="F353" s="285"/>
      <c r="G353" s="288"/>
      <c r="H353" s="279"/>
      <c r="I353" s="27" t="s">
        <v>693</v>
      </c>
      <c r="J353" s="5" t="s">
        <v>65</v>
      </c>
      <c r="K353" s="30" t="s">
        <v>685</v>
      </c>
      <c r="L353" s="27" t="str">
        <f>VLOOKUP(K353,[1]CódigosRetorno!$A$2:$B$1996,2,FALSE)</f>
        <v>No debe ingresar informacion del conductores secundarios</v>
      </c>
      <c r="M353" s="5" t="s">
        <v>67</v>
      </c>
      <c r="N353" s="5"/>
      <c r="O353" s="6"/>
    </row>
    <row r="354" spans="1:15" ht="72" x14ac:dyDescent="0.25">
      <c r="A354" s="6"/>
      <c r="B354" s="266"/>
      <c r="C354" s="301"/>
      <c r="D354" s="288"/>
      <c r="E354" s="285"/>
      <c r="F354" s="285"/>
      <c r="G354" s="288"/>
      <c r="H354" s="279"/>
      <c r="I354" s="27" t="s">
        <v>694</v>
      </c>
      <c r="J354" s="5" t="s">
        <v>65</v>
      </c>
      <c r="K354" s="30" t="s">
        <v>685</v>
      </c>
      <c r="L354" s="27" t="str">
        <f>VLOOKUP(K354,[1]CódigosRetorno!$A$2:$B$1996,2,FALSE)</f>
        <v>No debe ingresar informacion del conductores secundarios</v>
      </c>
      <c r="M354" s="5" t="s">
        <v>67</v>
      </c>
      <c r="N354" s="5"/>
      <c r="O354" s="6"/>
    </row>
    <row r="355" spans="1:15" ht="84" x14ac:dyDescent="0.25">
      <c r="A355" s="6"/>
      <c r="B355" s="266"/>
      <c r="C355" s="299"/>
      <c r="D355" s="291"/>
      <c r="E355" s="272"/>
      <c r="F355" s="272"/>
      <c r="G355" s="291"/>
      <c r="H355" s="274"/>
      <c r="I355" s="27" t="s">
        <v>698</v>
      </c>
      <c r="J355" s="5" t="s">
        <v>111</v>
      </c>
      <c r="K355" s="3" t="s">
        <v>666</v>
      </c>
      <c r="L355" s="27" t="str">
        <f>VLOOKUP(K355,[1]CódigosRetorno!$A$2:$B$1996,2,FALSE)</f>
        <v>Los nombres y/o apellidos del conductor no cumplen con el formato establecido</v>
      </c>
      <c r="M355" s="5" t="s">
        <v>67</v>
      </c>
      <c r="N355" s="5"/>
      <c r="O355" s="6"/>
    </row>
    <row r="356" spans="1:15" ht="50.45" customHeight="1" x14ac:dyDescent="0.25">
      <c r="A356" s="6"/>
      <c r="B356" s="266">
        <f>B346+1</f>
        <v>59</v>
      </c>
      <c r="C356" s="267" t="s">
        <v>670</v>
      </c>
      <c r="D356" s="268" t="s">
        <v>61</v>
      </c>
      <c r="E356" s="269" t="s">
        <v>15</v>
      </c>
      <c r="F356" s="269" t="s">
        <v>8</v>
      </c>
      <c r="G356" s="268"/>
      <c r="H356" s="265" t="s">
        <v>671</v>
      </c>
      <c r="I356" s="27" t="s">
        <v>699</v>
      </c>
      <c r="J356" s="3" t="s">
        <v>65</v>
      </c>
      <c r="K356" s="3" t="s">
        <v>672</v>
      </c>
      <c r="L356" s="27" t="str">
        <f>VLOOKUP(K356,[1]CódigosRetorno!$A$2:$B$1996,2,FALSE)</f>
        <v>El XML no contiene el tag o no existe informacion del Numero de licencia del conductor.</v>
      </c>
      <c r="M356" s="5" t="s">
        <v>67</v>
      </c>
      <c r="N356" s="5"/>
      <c r="O356" s="6"/>
    </row>
    <row r="357" spans="1:15" ht="72" x14ac:dyDescent="0.25">
      <c r="A357" s="6"/>
      <c r="B357" s="266"/>
      <c r="C357" s="267"/>
      <c r="D357" s="268"/>
      <c r="E357" s="269"/>
      <c r="F357" s="269"/>
      <c r="G357" s="268"/>
      <c r="H357" s="265"/>
      <c r="I357" s="27" t="s">
        <v>700</v>
      </c>
      <c r="J357" s="3" t="s">
        <v>65</v>
      </c>
      <c r="K357" s="3" t="s">
        <v>672</v>
      </c>
      <c r="L357" s="27" t="str">
        <f>VLOOKUP(K357,[1]CódigosRetorno!$A$2:$B$1996,2,FALSE)</f>
        <v>El XML no contiene el tag o no existe informacion del Numero de licencia del conductor.</v>
      </c>
      <c r="M357" s="5" t="s">
        <v>67</v>
      </c>
      <c r="N357" s="5"/>
      <c r="O357" s="6"/>
    </row>
    <row r="358" spans="1:15" ht="36" x14ac:dyDescent="0.25">
      <c r="A358" s="6"/>
      <c r="B358" s="266"/>
      <c r="C358" s="267"/>
      <c r="D358" s="268"/>
      <c r="E358" s="269"/>
      <c r="F358" s="269"/>
      <c r="G358" s="268"/>
      <c r="H358" s="265"/>
      <c r="I358" s="27" t="s">
        <v>693</v>
      </c>
      <c r="J358" s="5" t="s">
        <v>65</v>
      </c>
      <c r="K358" s="30" t="s">
        <v>685</v>
      </c>
      <c r="L358" s="27" t="str">
        <f>VLOOKUP(K358,[1]CódigosRetorno!$A$2:$B$1996,2,FALSE)</f>
        <v>No debe ingresar informacion del conductores secundarios</v>
      </c>
      <c r="M358" s="5" t="s">
        <v>67</v>
      </c>
      <c r="N358" s="5"/>
      <c r="O358" s="6"/>
    </row>
    <row r="359" spans="1:15" ht="72" x14ac:dyDescent="0.25">
      <c r="A359" s="6"/>
      <c r="B359" s="266"/>
      <c r="C359" s="267"/>
      <c r="D359" s="268"/>
      <c r="E359" s="269"/>
      <c r="F359" s="269"/>
      <c r="G359" s="268"/>
      <c r="H359" s="265"/>
      <c r="I359" s="27" t="s">
        <v>694</v>
      </c>
      <c r="J359" s="5" t="s">
        <v>65</v>
      </c>
      <c r="K359" s="30" t="s">
        <v>685</v>
      </c>
      <c r="L359" s="27" t="str">
        <f>VLOOKUP(K359,[1]CódigosRetorno!$A$2:$B$1996,2,FALSE)</f>
        <v>No debe ingresar informacion del conductores secundarios</v>
      </c>
      <c r="M359" s="5" t="s">
        <v>67</v>
      </c>
      <c r="N359" s="5"/>
      <c r="O359" s="6"/>
    </row>
    <row r="360" spans="1:15" ht="48" x14ac:dyDescent="0.25">
      <c r="A360" s="6"/>
      <c r="B360" s="266"/>
      <c r="C360" s="267"/>
      <c r="D360" s="268"/>
      <c r="E360" s="269"/>
      <c r="F360" s="269"/>
      <c r="G360" s="268"/>
      <c r="H360" s="265"/>
      <c r="I360" s="27" t="s">
        <v>701</v>
      </c>
      <c r="J360" s="3" t="s">
        <v>65</v>
      </c>
      <c r="K360" s="36" t="s">
        <v>674</v>
      </c>
      <c r="L360" s="27" t="str">
        <f>VLOOKUP(K360,[1]CódigosRetorno!$A$2:$B$1996,2,FALSE)</f>
        <v>Numero de licencia del conductor - El dato ingresado no cumple con el formato establecido.</v>
      </c>
      <c r="M360" s="5" t="s">
        <v>67</v>
      </c>
      <c r="N360" s="5"/>
      <c r="O360" s="6"/>
    </row>
    <row r="361" spans="1:15" ht="36" x14ac:dyDescent="0.25">
      <c r="A361" s="6"/>
      <c r="B361" s="266"/>
      <c r="C361" s="267"/>
      <c r="D361" s="268"/>
      <c r="E361" s="269"/>
      <c r="F361" s="269"/>
      <c r="G361" s="268"/>
      <c r="H361" s="265"/>
      <c r="I361" s="27" t="s">
        <v>702</v>
      </c>
      <c r="J361" s="3" t="s">
        <v>111</v>
      </c>
      <c r="K361" s="3" t="s">
        <v>676</v>
      </c>
      <c r="L361" s="27" t="str">
        <f>VLOOKUP(K361,[1]CódigosRetorno!$A$2:$B$1996,2,FALSE)</f>
        <v>El Numero de licencia de conducir no se encuentra en las bases consultadas</v>
      </c>
      <c r="M361" s="5" t="s">
        <v>85</v>
      </c>
      <c r="N361" s="5" t="s">
        <v>677</v>
      </c>
      <c r="O361" s="6"/>
    </row>
    <row r="362" spans="1:15" x14ac:dyDescent="0.25">
      <c r="A362" s="6"/>
      <c r="B362" s="38" t="s">
        <v>703</v>
      </c>
      <c r="C362" s="39"/>
      <c r="D362" s="23"/>
      <c r="E362" s="23"/>
      <c r="F362" s="23"/>
      <c r="G362" s="24"/>
      <c r="H362" s="25"/>
      <c r="I362" s="23"/>
      <c r="J362" s="23"/>
      <c r="K362" s="23"/>
      <c r="L362" s="23"/>
      <c r="M362" s="23"/>
      <c r="N362" s="26"/>
      <c r="O362" s="6"/>
    </row>
    <row r="363" spans="1:15" x14ac:dyDescent="0.25">
      <c r="A363" s="6"/>
      <c r="B363" s="266">
        <f>B356+1</f>
        <v>60</v>
      </c>
      <c r="C363" s="267" t="s">
        <v>704</v>
      </c>
      <c r="D363" s="268" t="s">
        <v>61</v>
      </c>
      <c r="E363" s="269" t="s">
        <v>5</v>
      </c>
      <c r="F363" s="271" t="s">
        <v>34</v>
      </c>
      <c r="G363" s="269" t="s">
        <v>705</v>
      </c>
      <c r="H363" s="265" t="s">
        <v>706</v>
      </c>
      <c r="I363" s="27" t="s">
        <v>64</v>
      </c>
      <c r="J363" s="5" t="s">
        <v>65</v>
      </c>
      <c r="K363" s="36" t="s">
        <v>707</v>
      </c>
      <c r="L363" s="27" t="str">
        <f>VLOOKUP(K363,[1]CódigosRetorno!$A$2:$B$1996,2,FALSE)</f>
        <v>El XML no contiene el atributo o no existe informacion del codigo de ubigeo.</v>
      </c>
      <c r="M363" s="5" t="s">
        <v>67</v>
      </c>
      <c r="N363" s="5"/>
      <c r="O363" s="6"/>
    </row>
    <row r="364" spans="1:15" x14ac:dyDescent="0.25">
      <c r="A364" s="6"/>
      <c r="B364" s="266"/>
      <c r="C364" s="267"/>
      <c r="D364" s="268"/>
      <c r="E364" s="269"/>
      <c r="F364" s="285"/>
      <c r="G364" s="269"/>
      <c r="H364" s="265"/>
      <c r="I364" s="27" t="s">
        <v>708</v>
      </c>
      <c r="J364" s="5" t="s">
        <v>65</v>
      </c>
      <c r="K364" s="36" t="s">
        <v>709</v>
      </c>
      <c r="L364" s="27" t="str">
        <f>VLOOKUP(K364,[1]CódigosRetorno!$A$2:$B$1996,2,FALSE)</f>
        <v>El valor ingresado como codigo de ubigeo no cumple con el estandar.</v>
      </c>
      <c r="M364" s="5" t="s">
        <v>67</v>
      </c>
      <c r="N364" s="5"/>
      <c r="O364" s="6"/>
    </row>
    <row r="365" spans="1:15" x14ac:dyDescent="0.25">
      <c r="A365" s="6"/>
      <c r="B365" s="266"/>
      <c r="C365" s="267"/>
      <c r="D365" s="268"/>
      <c r="E365" s="269"/>
      <c r="F365" s="285"/>
      <c r="G365" s="269"/>
      <c r="H365" s="265"/>
      <c r="I365" s="27" t="s">
        <v>396</v>
      </c>
      <c r="J365" s="5" t="s">
        <v>65</v>
      </c>
      <c r="K365" s="51" t="s">
        <v>710</v>
      </c>
      <c r="L365" s="27" t="str">
        <f>VLOOKUP(K365,[1]CódigosRetorno!$A$2:$B$1996,2,FALSE)</f>
        <v>El codigo de ubigeo del punto de partida no existe</v>
      </c>
      <c r="M365" s="5" t="s">
        <v>67</v>
      </c>
      <c r="N365" s="5" t="s">
        <v>711</v>
      </c>
      <c r="O365" s="6"/>
    </row>
    <row r="366" spans="1:15" ht="25.35" customHeight="1" x14ac:dyDescent="0.25">
      <c r="A366" s="6"/>
      <c r="B366" s="266"/>
      <c r="C366" s="267"/>
      <c r="D366" s="268"/>
      <c r="E366" s="269"/>
      <c r="F366" s="285"/>
      <c r="G366" s="269"/>
      <c r="H366" s="265"/>
      <c r="I366" s="27" t="s">
        <v>712</v>
      </c>
      <c r="J366" s="5" t="s">
        <v>65</v>
      </c>
      <c r="K366" s="51" t="s">
        <v>713</v>
      </c>
      <c r="L366" s="27" t="str">
        <f>VLOOKUP(K366,[1]CódigosRetorno!$A$2:$B$1996,2,FALSE)</f>
        <v>El codigo de ubigeo no corresponde a la direccion del puerto/aeropuerto consignado</v>
      </c>
      <c r="M366" s="5" t="s">
        <v>67</v>
      </c>
      <c r="N366" s="5" t="s">
        <v>714</v>
      </c>
      <c r="O366" s="6"/>
    </row>
    <row r="367" spans="1:15" ht="25.35" customHeight="1" x14ac:dyDescent="0.25">
      <c r="A367" s="6"/>
      <c r="B367" s="266"/>
      <c r="C367" s="267"/>
      <c r="D367" s="268"/>
      <c r="E367" s="269"/>
      <c r="F367" s="272"/>
      <c r="G367" s="269"/>
      <c r="H367" s="265"/>
      <c r="I367" s="27" t="s">
        <v>715</v>
      </c>
      <c r="J367" s="5" t="s">
        <v>65</v>
      </c>
      <c r="K367" s="51" t="s">
        <v>713</v>
      </c>
      <c r="L367" s="27" t="str">
        <f>VLOOKUP(K367,[1]CódigosRetorno!$A$2:$B$1996,2,FALSE)</f>
        <v>El codigo de ubigeo no corresponde a la direccion del puerto/aeropuerto consignado</v>
      </c>
      <c r="M367" s="5" t="s">
        <v>67</v>
      </c>
      <c r="N367" s="5" t="s">
        <v>716</v>
      </c>
      <c r="O367" s="6"/>
    </row>
    <row r="368" spans="1:15" ht="24" x14ac:dyDescent="0.25">
      <c r="A368" s="6"/>
      <c r="B368" s="266"/>
      <c r="C368" s="267"/>
      <c r="D368" s="268"/>
      <c r="E368" s="269"/>
      <c r="F368" s="287"/>
      <c r="G368" s="188" t="s">
        <v>717</v>
      </c>
      <c r="H368" s="192" t="s">
        <v>137</v>
      </c>
      <c r="I368" s="33" t="s">
        <v>718</v>
      </c>
      <c r="J368" s="34" t="s">
        <v>111</v>
      </c>
      <c r="K368" s="30" t="s">
        <v>138</v>
      </c>
      <c r="L368" s="27" t="str">
        <f>VLOOKUP(K368,[1]CódigosRetorno!$A$2:$B$1996,2,FALSE)</f>
        <v>El dato ingresado como atributo @schemeAgencyName es incorrecto.</v>
      </c>
      <c r="M368" s="5" t="s">
        <v>67</v>
      </c>
      <c r="N368" s="5"/>
      <c r="O368" s="6"/>
    </row>
    <row r="369" spans="1:15" ht="24" x14ac:dyDescent="0.25">
      <c r="A369" s="6"/>
      <c r="B369" s="266"/>
      <c r="C369" s="267"/>
      <c r="D369" s="268"/>
      <c r="E369" s="269"/>
      <c r="F369" s="291"/>
      <c r="G369" s="188" t="s">
        <v>719</v>
      </c>
      <c r="H369" s="192" t="s">
        <v>134</v>
      </c>
      <c r="I369" s="33" t="s">
        <v>720</v>
      </c>
      <c r="J369" s="34" t="s">
        <v>111</v>
      </c>
      <c r="K369" s="30" t="s">
        <v>136</v>
      </c>
      <c r="L369" s="27" t="str">
        <f>VLOOKUP(K369,[1]CódigosRetorno!$A$2:$B$1996,2,FALSE)</f>
        <v>El dato ingresado como atributo @schemeName es incorrecto.</v>
      </c>
      <c r="M369" s="5" t="s">
        <v>67</v>
      </c>
      <c r="N369" s="5"/>
      <c r="O369" s="6"/>
    </row>
    <row r="370" spans="1:15" ht="24" x14ac:dyDescent="0.25">
      <c r="A370" s="6"/>
      <c r="B370" s="266">
        <f>B363+1</f>
        <v>61</v>
      </c>
      <c r="C370" s="267" t="s">
        <v>721</v>
      </c>
      <c r="D370" s="268" t="s">
        <v>61</v>
      </c>
      <c r="E370" s="269" t="s">
        <v>5</v>
      </c>
      <c r="F370" s="269" t="s">
        <v>26</v>
      </c>
      <c r="G370" s="292"/>
      <c r="H370" s="265" t="s">
        <v>722</v>
      </c>
      <c r="I370" s="27" t="s">
        <v>64</v>
      </c>
      <c r="J370" s="5" t="s">
        <v>65</v>
      </c>
      <c r="K370" s="36" t="s">
        <v>723</v>
      </c>
      <c r="L370" s="27" t="str">
        <f>VLOOKUP(K370,[1]CódigosRetorno!$A$2:$B$1996,2,FALSE)</f>
        <v>El XML no contiene el tag o no existe informacion de direccion detallada de punto de partida.</v>
      </c>
      <c r="M370" s="5" t="s">
        <v>67</v>
      </c>
      <c r="N370" s="5"/>
      <c r="O370" s="6"/>
    </row>
    <row r="371" spans="1:15" ht="60" x14ac:dyDescent="0.25">
      <c r="A371" s="6"/>
      <c r="B371" s="266"/>
      <c r="C371" s="267"/>
      <c r="D371" s="268"/>
      <c r="E371" s="269"/>
      <c r="F371" s="269"/>
      <c r="G371" s="292"/>
      <c r="H371" s="265"/>
      <c r="I371" s="27" t="s">
        <v>724</v>
      </c>
      <c r="J371" s="5" t="s">
        <v>111</v>
      </c>
      <c r="K371" s="36" t="s">
        <v>725</v>
      </c>
      <c r="L371" s="27" t="str">
        <f>VLOOKUP(K371,[1]CódigosRetorno!$A$2:$B$1996,2,FALSE)</f>
        <v>Direccion de punto de partida - El dato ingresado no cumple con el formato establecido.</v>
      </c>
      <c r="M371" s="5" t="s">
        <v>67</v>
      </c>
      <c r="N371" s="5"/>
      <c r="O371" s="6"/>
    </row>
    <row r="372" spans="1:15" ht="24" customHeight="1" x14ac:dyDescent="0.25">
      <c r="A372" s="6"/>
      <c r="B372" s="295">
        <f>B370+1</f>
        <v>62</v>
      </c>
      <c r="C372" s="273" t="s">
        <v>726</v>
      </c>
      <c r="D372" s="287" t="s">
        <v>61</v>
      </c>
      <c r="E372" s="271" t="s">
        <v>15</v>
      </c>
      <c r="F372" s="271" t="s">
        <v>143</v>
      </c>
      <c r="G372" s="282" t="s">
        <v>144</v>
      </c>
      <c r="H372" s="273" t="s">
        <v>727</v>
      </c>
      <c r="I372" s="27" t="s">
        <v>728</v>
      </c>
      <c r="J372" s="5" t="s">
        <v>65</v>
      </c>
      <c r="K372" s="41" t="s">
        <v>729</v>
      </c>
      <c r="L372" s="27" t="str">
        <f>VLOOKUP(K372,[1]CódigosRetorno!$A$2:$B$1996,2,FALSE)</f>
        <v>Debe indicar el Numero de RUC al cual pertenece el Codigo de establecimiento anexo del punto de partida/llegada</v>
      </c>
      <c r="M372" s="5" t="s">
        <v>67</v>
      </c>
      <c r="N372" s="5"/>
      <c r="O372" s="6"/>
    </row>
    <row r="373" spans="1:15" ht="36" x14ac:dyDescent="0.25">
      <c r="A373" s="6"/>
      <c r="B373" s="296"/>
      <c r="C373" s="279"/>
      <c r="D373" s="288"/>
      <c r="E373" s="285"/>
      <c r="F373" s="285"/>
      <c r="G373" s="283"/>
      <c r="H373" s="279"/>
      <c r="I373" s="27" t="s">
        <v>730</v>
      </c>
      <c r="J373" s="5" t="s">
        <v>65</v>
      </c>
      <c r="K373" s="41" t="s">
        <v>731</v>
      </c>
      <c r="L373" s="27" t="str">
        <f>VLOOKUP(K373,[1]CódigosRetorno!$A$2:$B$1996,2,FALSE)</f>
        <v>El Numero de RUC  asociado al punto de partida/llegada no debe ser el igual al Numero de RUC del remitente</v>
      </c>
      <c r="M373" s="5" t="s">
        <v>67</v>
      </c>
      <c r="N373" s="5"/>
      <c r="O373" s="6"/>
    </row>
    <row r="374" spans="1:15" ht="36" x14ac:dyDescent="0.25">
      <c r="A374" s="6"/>
      <c r="B374" s="296"/>
      <c r="C374" s="279"/>
      <c r="D374" s="288"/>
      <c r="E374" s="285"/>
      <c r="F374" s="285"/>
      <c r="G374" s="283"/>
      <c r="H374" s="279"/>
      <c r="I374" s="27" t="s">
        <v>732</v>
      </c>
      <c r="J374" s="5" t="s">
        <v>65</v>
      </c>
      <c r="K374" s="41" t="s">
        <v>733</v>
      </c>
      <c r="L374" s="27" t="str">
        <f>VLOOKUP(K374,[1]CódigosRetorno!$A$2:$B$1996,2,FALSE)</f>
        <v>El Numero de RUC  asociado al punto de partida/llegada debe ser el igual al Numero de RUC del remitente</v>
      </c>
      <c r="M374" s="5" t="s">
        <v>67</v>
      </c>
      <c r="N374" s="5"/>
      <c r="O374" s="6"/>
    </row>
    <row r="375" spans="1:15" ht="72" x14ac:dyDescent="0.25">
      <c r="A375" s="6"/>
      <c r="B375" s="296"/>
      <c r="C375" s="279"/>
      <c r="D375" s="288"/>
      <c r="E375" s="285"/>
      <c r="F375" s="285"/>
      <c r="G375" s="283"/>
      <c r="H375" s="279"/>
      <c r="I375" s="27" t="s">
        <v>734</v>
      </c>
      <c r="J375" s="5" t="s">
        <v>65</v>
      </c>
      <c r="K375" s="41" t="s">
        <v>735</v>
      </c>
      <c r="L375" s="27" t="str">
        <f>VLOOKUP(K375,[1]CódigosRetorno!$A$2:$B$1996,2,FALSE)</f>
        <v>Si el Motivo de traslado es 08-Importacion, y el punto de partida no es un puerto ni aeropuerto, el Numero de Ruc del establecimiento debe corresponder al numero de RUC del deposito temporal consignado en la DAM o DS</v>
      </c>
      <c r="M375" s="5" t="s">
        <v>85</v>
      </c>
      <c r="N375" s="5" t="s">
        <v>238</v>
      </c>
      <c r="O375" s="6"/>
    </row>
    <row r="376" spans="1:15" ht="24" x14ac:dyDescent="0.25">
      <c r="A376" s="6"/>
      <c r="B376" s="296"/>
      <c r="C376" s="279"/>
      <c r="D376" s="288"/>
      <c r="E376" s="285"/>
      <c r="F376" s="285"/>
      <c r="G376" s="283"/>
      <c r="H376" s="279"/>
      <c r="I376" s="27" t="s">
        <v>736</v>
      </c>
      <c r="J376" s="5" t="s">
        <v>65</v>
      </c>
      <c r="K376" s="41" t="s">
        <v>263</v>
      </c>
      <c r="L376" s="27" t="str">
        <f>VLOOKUP(K376,[1]CódigosRetorno!$A$2:$B$1996,2,FALSE)</f>
        <v>El Numero de RUC no cumple con el formato establecido</v>
      </c>
      <c r="M376" s="5" t="s">
        <v>67</v>
      </c>
      <c r="N376" s="5"/>
      <c r="O376" s="6"/>
    </row>
    <row r="377" spans="1:15" ht="24" x14ac:dyDescent="0.25">
      <c r="A377" s="6"/>
      <c r="B377" s="296"/>
      <c r="C377" s="279"/>
      <c r="D377" s="288"/>
      <c r="E377" s="285"/>
      <c r="F377" s="285"/>
      <c r="G377" s="283"/>
      <c r="H377" s="279"/>
      <c r="I377" s="27" t="s">
        <v>737</v>
      </c>
      <c r="J377" s="5" t="s">
        <v>65</v>
      </c>
      <c r="K377" s="41" t="s">
        <v>738</v>
      </c>
      <c r="L377" s="27" t="str">
        <f>VLOOKUP(K377,[1]CódigosRetorno!$A$2:$B$1996,2,FALSE)</f>
        <v>El Numero de RUC aociado al establecimiento del punto de partida/llegada no existe</v>
      </c>
      <c r="M377" s="5" t="s">
        <v>85</v>
      </c>
      <c r="N377" s="5" t="s">
        <v>150</v>
      </c>
      <c r="O377" s="6"/>
    </row>
    <row r="378" spans="1:15" ht="24" x14ac:dyDescent="0.25">
      <c r="A378" s="6"/>
      <c r="B378" s="266">
        <f>B372+1</f>
        <v>63</v>
      </c>
      <c r="C378" s="267" t="s">
        <v>739</v>
      </c>
      <c r="D378" s="268" t="s">
        <v>61</v>
      </c>
      <c r="E378" s="269" t="s">
        <v>15</v>
      </c>
      <c r="F378" s="271" t="s">
        <v>29</v>
      </c>
      <c r="G378" s="269" t="s">
        <v>6</v>
      </c>
      <c r="H378" s="265" t="s">
        <v>740</v>
      </c>
      <c r="I378" s="27" t="s">
        <v>741</v>
      </c>
      <c r="J378" s="5" t="s">
        <v>65</v>
      </c>
      <c r="K378" s="41" t="s">
        <v>742</v>
      </c>
      <c r="L378" s="27" t="str">
        <f>VLOOKUP(K378,[1]CódigosRetorno!$A$2:$B$1996,2,FALSE)</f>
        <v>El codigo de establecimiento anexo del punto de partida no existe o no contiene informacion</v>
      </c>
      <c r="M378" s="5" t="s">
        <v>67</v>
      </c>
      <c r="N378" s="5"/>
      <c r="O378" s="6"/>
    </row>
    <row r="379" spans="1:15" ht="24" x14ac:dyDescent="0.25">
      <c r="A379" s="6"/>
      <c r="B379" s="266"/>
      <c r="C379" s="267"/>
      <c r="D379" s="268"/>
      <c r="E379" s="269"/>
      <c r="F379" s="285"/>
      <c r="G379" s="269"/>
      <c r="H379" s="265"/>
      <c r="I379" s="27" t="s">
        <v>743</v>
      </c>
      <c r="J379" s="5" t="s">
        <v>65</v>
      </c>
      <c r="K379" s="41" t="s">
        <v>742</v>
      </c>
      <c r="L379" s="27" t="str">
        <f>VLOOKUP(K379,[1]CódigosRetorno!$A$2:$B$1996,2,FALSE)</f>
        <v>El codigo de establecimiento anexo del punto de partida no existe o no contiene informacion</v>
      </c>
      <c r="M379" s="5" t="s">
        <v>67</v>
      </c>
      <c r="N379" s="5"/>
      <c r="O379" s="6"/>
    </row>
    <row r="380" spans="1:15" ht="36" x14ac:dyDescent="0.25">
      <c r="A380" s="6"/>
      <c r="B380" s="266"/>
      <c r="C380" s="267"/>
      <c r="D380" s="268"/>
      <c r="E380" s="269"/>
      <c r="F380" s="285"/>
      <c r="G380" s="269"/>
      <c r="H380" s="265"/>
      <c r="I380" s="27" t="s">
        <v>744</v>
      </c>
      <c r="J380" s="5" t="s">
        <v>65</v>
      </c>
      <c r="K380" s="41" t="s">
        <v>742</v>
      </c>
      <c r="L380" s="27" t="str">
        <f>VLOOKUP(K380,[1]CódigosRetorno!$A$2:$B$1996,2,FALSE)</f>
        <v>El codigo de establecimiento anexo del punto de partida no existe o no contiene informacion</v>
      </c>
      <c r="M380" s="5" t="s">
        <v>67</v>
      </c>
      <c r="N380" s="5"/>
      <c r="O380" s="6"/>
    </row>
    <row r="381" spans="1:15" ht="40.5" customHeight="1" x14ac:dyDescent="0.25">
      <c r="A381" s="6"/>
      <c r="B381" s="266"/>
      <c r="C381" s="267"/>
      <c r="D381" s="268"/>
      <c r="E381" s="269"/>
      <c r="F381" s="285"/>
      <c r="G381" s="269"/>
      <c r="H381" s="265"/>
      <c r="I381" s="27" t="s">
        <v>745</v>
      </c>
      <c r="J381" s="5" t="s">
        <v>65</v>
      </c>
      <c r="K381" s="41" t="s">
        <v>746</v>
      </c>
      <c r="L381" s="27" t="str">
        <f>VLOOKUP(K381,[1]CódigosRetorno!$A$2:$B$1996,2,FALSE)</f>
        <v>El codigo de establecimiento anexo del punto de partida no esta declarado en SUNAT</v>
      </c>
      <c r="M381" s="5" t="s">
        <v>85</v>
      </c>
      <c r="N381" s="5" t="s">
        <v>747</v>
      </c>
      <c r="O381" s="6"/>
    </row>
    <row r="382" spans="1:15" ht="72" x14ac:dyDescent="0.25">
      <c r="A382" s="6"/>
      <c r="B382" s="266"/>
      <c r="C382" s="267"/>
      <c r="D382" s="268"/>
      <c r="E382" s="269"/>
      <c r="F382" s="285"/>
      <c r="G382" s="269"/>
      <c r="H382" s="265"/>
      <c r="I382" s="27" t="s">
        <v>748</v>
      </c>
      <c r="J382" s="5" t="s">
        <v>65</v>
      </c>
      <c r="K382" s="41" t="s">
        <v>746</v>
      </c>
      <c r="L382" s="27" t="str">
        <f>VLOOKUP(K382,[1]CódigosRetorno!$A$2:$B$1996,2,FALSE)</f>
        <v>El codigo de establecimiento anexo del punto de partida no esta declarado en SUNAT</v>
      </c>
      <c r="M382" s="5" t="s">
        <v>85</v>
      </c>
      <c r="N382" s="5" t="s">
        <v>747</v>
      </c>
      <c r="O382" s="6"/>
    </row>
    <row r="383" spans="1:15" ht="60" x14ac:dyDescent="0.25">
      <c r="A383" s="6"/>
      <c r="B383" s="266"/>
      <c r="C383" s="267"/>
      <c r="D383" s="268"/>
      <c r="E383" s="269"/>
      <c r="F383" s="272"/>
      <c r="G383" s="269"/>
      <c r="H383" s="265"/>
      <c r="I383" s="27" t="s">
        <v>749</v>
      </c>
      <c r="J383" s="5" t="s">
        <v>65</v>
      </c>
      <c r="K383" s="41" t="s">
        <v>750</v>
      </c>
      <c r="L383" s="27" t="str">
        <f>VLOOKUP(K383,[1]CódigosRetorno!$A$2:$B$1996,2,FALSE)</f>
        <v>El codigo de establecimiento anexo del punto de partida no coincide con el ubigeo de partida consignado</v>
      </c>
      <c r="M383" s="5" t="s">
        <v>85</v>
      </c>
      <c r="N383" s="5" t="s">
        <v>747</v>
      </c>
      <c r="O383" s="6"/>
    </row>
    <row r="384" spans="1:15" ht="24" x14ac:dyDescent="0.25">
      <c r="A384" s="6"/>
      <c r="B384" s="266"/>
      <c r="C384" s="267"/>
      <c r="D384" s="268"/>
      <c r="E384" s="269"/>
      <c r="F384" s="287"/>
      <c r="G384" s="188" t="s">
        <v>108</v>
      </c>
      <c r="H384" s="192" t="s">
        <v>109</v>
      </c>
      <c r="I384" s="33" t="s">
        <v>110</v>
      </c>
      <c r="J384" s="34" t="s">
        <v>111</v>
      </c>
      <c r="K384" s="30" t="s">
        <v>112</v>
      </c>
      <c r="L384" s="27" t="str">
        <f>VLOOKUP(K384,[1]CódigosRetorno!$A$2:$B$1996,2,FALSE)</f>
        <v>El dato ingresado como atributo @listAgencyName es incorrecto.</v>
      </c>
      <c r="M384" s="5" t="s">
        <v>67</v>
      </c>
      <c r="N384" s="5"/>
      <c r="O384" s="6"/>
    </row>
    <row r="385" spans="1:15" ht="24" x14ac:dyDescent="0.25">
      <c r="A385" s="6"/>
      <c r="B385" s="266"/>
      <c r="C385" s="267"/>
      <c r="D385" s="268"/>
      <c r="E385" s="269"/>
      <c r="F385" s="291"/>
      <c r="G385" s="188" t="s">
        <v>751</v>
      </c>
      <c r="H385" s="192" t="s">
        <v>114</v>
      </c>
      <c r="I385" s="33" t="s">
        <v>752</v>
      </c>
      <c r="J385" s="34" t="s">
        <v>111</v>
      </c>
      <c r="K385" s="30" t="s">
        <v>116</v>
      </c>
      <c r="L385" s="27" t="str">
        <f>VLOOKUP(K385,[1]CódigosRetorno!$A$2:$B$1996,2,FALSE)</f>
        <v>El dato ingresado como atributo @listName es incorrecto.</v>
      </c>
      <c r="M385" s="5" t="s">
        <v>67</v>
      </c>
      <c r="N385" s="5"/>
      <c r="O385" s="6"/>
    </row>
    <row r="386" spans="1:15" ht="48" x14ac:dyDescent="0.25">
      <c r="A386" s="6"/>
      <c r="B386" s="266">
        <f>B378+1</f>
        <v>64</v>
      </c>
      <c r="C386" s="267" t="s">
        <v>753</v>
      </c>
      <c r="D386" s="268" t="s">
        <v>61</v>
      </c>
      <c r="E386" s="269" t="s">
        <v>15</v>
      </c>
      <c r="F386" s="188" t="s">
        <v>74</v>
      </c>
      <c r="G386" s="190" t="s">
        <v>754</v>
      </c>
      <c r="H386" s="189" t="s">
        <v>755</v>
      </c>
      <c r="I386" s="27" t="s">
        <v>756</v>
      </c>
      <c r="J386" s="5" t="s">
        <v>65</v>
      </c>
      <c r="K386" s="41" t="s">
        <v>757</v>
      </c>
      <c r="L386" s="27" t="str">
        <f>VLOOKUP(K386,[1]CódigosRetorno!$A$2:$B$1996,2,FALSE)</f>
        <v>El valor ingresado como Punto de georreferencia no cumple con el formato establecido</v>
      </c>
      <c r="M386" s="5" t="s">
        <v>67</v>
      </c>
      <c r="N386" s="5"/>
      <c r="O386" s="6"/>
    </row>
    <row r="387" spans="1:15" ht="14.45" customHeight="1" x14ac:dyDescent="0.25">
      <c r="A387" s="6"/>
      <c r="B387" s="266"/>
      <c r="C387" s="267"/>
      <c r="D387" s="268"/>
      <c r="E387" s="269"/>
      <c r="F387" s="5" t="s">
        <v>30</v>
      </c>
      <c r="G387" s="190" t="s">
        <v>758</v>
      </c>
      <c r="H387" s="192" t="s">
        <v>759</v>
      </c>
      <c r="I387" s="27" t="s">
        <v>391</v>
      </c>
      <c r="J387" s="5" t="s">
        <v>58</v>
      </c>
      <c r="K387" s="3" t="s">
        <v>58</v>
      </c>
      <c r="L387" s="27" t="str">
        <f>VLOOKUP(K387,[1]CódigosRetorno!$A$2:$B$1996,2,FALSE)</f>
        <v>-</v>
      </c>
      <c r="M387" s="5"/>
      <c r="N387" s="5"/>
      <c r="O387" s="6"/>
    </row>
    <row r="388" spans="1:15" ht="48" x14ac:dyDescent="0.25">
      <c r="A388" s="6"/>
      <c r="B388" s="266"/>
      <c r="C388" s="267"/>
      <c r="D388" s="268"/>
      <c r="E388" s="269"/>
      <c r="F388" s="188" t="s">
        <v>74</v>
      </c>
      <c r="G388" s="190" t="s">
        <v>754</v>
      </c>
      <c r="H388" s="189" t="s">
        <v>760</v>
      </c>
      <c r="I388" s="27" t="s">
        <v>756</v>
      </c>
      <c r="J388" s="5" t="s">
        <v>65</v>
      </c>
      <c r="K388" s="3" t="s">
        <v>757</v>
      </c>
      <c r="L388" s="27" t="str">
        <f>VLOOKUP(K388,[1]CódigosRetorno!$A$2:$B$1996,2,FALSE)</f>
        <v>El valor ingresado como Punto de georreferencia no cumple con el formato establecido</v>
      </c>
      <c r="M388" s="5" t="s">
        <v>67</v>
      </c>
      <c r="N388" s="5"/>
      <c r="O388" s="6"/>
    </row>
    <row r="389" spans="1:15" ht="14.45" customHeight="1" x14ac:dyDescent="0.25">
      <c r="A389" s="6"/>
      <c r="B389" s="266"/>
      <c r="C389" s="267"/>
      <c r="D389" s="268"/>
      <c r="E389" s="269"/>
      <c r="F389" s="5" t="s">
        <v>30</v>
      </c>
      <c r="G389" s="190" t="s">
        <v>758</v>
      </c>
      <c r="H389" s="192" t="s">
        <v>759</v>
      </c>
      <c r="I389" s="27" t="s">
        <v>391</v>
      </c>
      <c r="J389" s="5" t="s">
        <v>58</v>
      </c>
      <c r="K389" s="3" t="s">
        <v>58</v>
      </c>
      <c r="L389" s="27" t="str">
        <f>VLOOKUP(K389,[1]CódigosRetorno!$A$2:$B$1996,2,FALSE)</f>
        <v>-</v>
      </c>
      <c r="M389" s="5"/>
      <c r="N389" s="5"/>
      <c r="O389" s="6"/>
    </row>
    <row r="390" spans="1:15" x14ac:dyDescent="0.25">
      <c r="A390" s="6"/>
      <c r="B390" s="38" t="s">
        <v>761</v>
      </c>
      <c r="C390" s="39"/>
      <c r="D390" s="23"/>
      <c r="E390" s="23"/>
      <c r="F390" s="23"/>
      <c r="G390" s="24"/>
      <c r="H390" s="25"/>
      <c r="I390" s="23"/>
      <c r="J390" s="23"/>
      <c r="K390" s="23"/>
      <c r="L390" s="23"/>
      <c r="M390" s="23"/>
      <c r="N390" s="26"/>
      <c r="O390" s="6"/>
    </row>
    <row r="391" spans="1:15" ht="24" x14ac:dyDescent="0.25">
      <c r="A391" s="6"/>
      <c r="B391" s="266">
        <f>B386+1</f>
        <v>65</v>
      </c>
      <c r="C391" s="267" t="s">
        <v>762</v>
      </c>
      <c r="D391" s="268" t="s">
        <v>61</v>
      </c>
      <c r="E391" s="269" t="s">
        <v>15</v>
      </c>
      <c r="F391" s="271" t="s">
        <v>34</v>
      </c>
      <c r="G391" s="269" t="s">
        <v>705</v>
      </c>
      <c r="H391" s="273" t="s">
        <v>763</v>
      </c>
      <c r="I391" s="27" t="s">
        <v>764</v>
      </c>
      <c r="J391" s="5" t="s">
        <v>65</v>
      </c>
      <c r="K391" s="36" t="s">
        <v>707</v>
      </c>
      <c r="L391" s="27" t="str">
        <f>VLOOKUP(K391,[1]CódigosRetorno!$A$2:$B$1996,2,FALSE)</f>
        <v>El XML no contiene el atributo o no existe informacion del codigo de ubigeo.</v>
      </c>
      <c r="M391" s="5" t="s">
        <v>67</v>
      </c>
      <c r="N391" s="5"/>
      <c r="O391" s="6"/>
    </row>
    <row r="392" spans="1:15" ht="24" x14ac:dyDescent="0.25">
      <c r="A392" s="6"/>
      <c r="B392" s="266"/>
      <c r="C392" s="267"/>
      <c r="D392" s="268"/>
      <c r="E392" s="269"/>
      <c r="F392" s="285"/>
      <c r="G392" s="269"/>
      <c r="H392" s="279"/>
      <c r="I392" s="27" t="s">
        <v>765</v>
      </c>
      <c r="J392" s="5" t="s">
        <v>65</v>
      </c>
      <c r="K392" s="36" t="s">
        <v>709</v>
      </c>
      <c r="L392" s="27" t="str">
        <f>VLOOKUP(K392,[1]CódigosRetorno!$A$2:$B$1996,2,FALSE)</f>
        <v>El valor ingresado como codigo de ubigeo no cumple con el estandar.</v>
      </c>
      <c r="M392" s="5" t="s">
        <v>67</v>
      </c>
      <c r="N392" s="5"/>
      <c r="O392" s="6"/>
    </row>
    <row r="393" spans="1:15" ht="24" x14ac:dyDescent="0.25">
      <c r="A393" s="6"/>
      <c r="B393" s="266"/>
      <c r="C393" s="267"/>
      <c r="D393" s="268"/>
      <c r="E393" s="269"/>
      <c r="F393" s="285"/>
      <c r="G393" s="269"/>
      <c r="H393" s="279"/>
      <c r="I393" s="27" t="s">
        <v>766</v>
      </c>
      <c r="J393" s="5" t="s">
        <v>65</v>
      </c>
      <c r="K393" s="51" t="s">
        <v>767</v>
      </c>
      <c r="L393" s="27" t="str">
        <f>VLOOKUP(K393,[1]CódigosRetorno!$A$2:$B$1996,2,FALSE)</f>
        <v>El codigo de ubigeo del punto de llegada no existe</v>
      </c>
      <c r="M393" s="5" t="s">
        <v>67</v>
      </c>
      <c r="N393" s="5" t="s">
        <v>711</v>
      </c>
      <c r="O393" s="6"/>
    </row>
    <row r="394" spans="1:15" ht="26.1" customHeight="1" x14ac:dyDescent="0.25">
      <c r="A394" s="6"/>
      <c r="B394" s="266"/>
      <c r="C394" s="267"/>
      <c r="D394" s="268"/>
      <c r="E394" s="269"/>
      <c r="F394" s="272"/>
      <c r="G394" s="269"/>
      <c r="H394" s="279"/>
      <c r="I394" s="27" t="s">
        <v>768</v>
      </c>
      <c r="J394" s="5" t="s">
        <v>65</v>
      </c>
      <c r="K394" s="51" t="s">
        <v>713</v>
      </c>
      <c r="L394" s="27" t="str">
        <f>VLOOKUP(K394,[1]CódigosRetorno!$A$2:$B$1996,2,FALSE)</f>
        <v>El codigo de ubigeo no corresponde a la direccion del puerto/aeropuerto consignado</v>
      </c>
      <c r="M394" s="5" t="s">
        <v>67</v>
      </c>
      <c r="N394" s="5" t="s">
        <v>714</v>
      </c>
      <c r="O394" s="6"/>
    </row>
    <row r="395" spans="1:15" ht="24" x14ac:dyDescent="0.25">
      <c r="A395" s="6"/>
      <c r="B395" s="266"/>
      <c r="C395" s="267"/>
      <c r="D395" s="268"/>
      <c r="E395" s="269"/>
      <c r="F395" s="287"/>
      <c r="G395" s="188" t="s">
        <v>717</v>
      </c>
      <c r="H395" s="192" t="s">
        <v>137</v>
      </c>
      <c r="I395" s="33" t="s">
        <v>718</v>
      </c>
      <c r="J395" s="34" t="s">
        <v>111</v>
      </c>
      <c r="K395" s="30" t="s">
        <v>138</v>
      </c>
      <c r="L395" s="27" t="str">
        <f>VLOOKUP(K395,[1]CódigosRetorno!$A$2:$B$1996,2,FALSE)</f>
        <v>El dato ingresado como atributo @schemeAgencyName es incorrecto.</v>
      </c>
      <c r="M395" s="5" t="s">
        <v>67</v>
      </c>
      <c r="N395" s="5"/>
      <c r="O395" s="6"/>
    </row>
    <row r="396" spans="1:15" ht="24" x14ac:dyDescent="0.25">
      <c r="A396" s="6"/>
      <c r="B396" s="266"/>
      <c r="C396" s="267"/>
      <c r="D396" s="268"/>
      <c r="E396" s="269"/>
      <c r="F396" s="291"/>
      <c r="G396" s="188" t="s">
        <v>719</v>
      </c>
      <c r="H396" s="192" t="s">
        <v>134</v>
      </c>
      <c r="I396" s="33" t="s">
        <v>720</v>
      </c>
      <c r="J396" s="34" t="s">
        <v>111</v>
      </c>
      <c r="K396" s="30" t="s">
        <v>136</v>
      </c>
      <c r="L396" s="27" t="str">
        <f>VLOOKUP(K396,[1]CódigosRetorno!$A$2:$B$1996,2,FALSE)</f>
        <v>El dato ingresado como atributo @schemeName es incorrecto.</v>
      </c>
      <c r="M396" s="5" t="s">
        <v>67</v>
      </c>
      <c r="N396" s="5"/>
      <c r="O396" s="6"/>
    </row>
    <row r="397" spans="1:15" ht="24" x14ac:dyDescent="0.25">
      <c r="A397" s="6"/>
      <c r="B397" s="266">
        <f>B391+1</f>
        <v>66</v>
      </c>
      <c r="C397" s="267" t="s">
        <v>769</v>
      </c>
      <c r="D397" s="268" t="s">
        <v>61</v>
      </c>
      <c r="E397" s="269" t="s">
        <v>15</v>
      </c>
      <c r="F397" s="265" t="s">
        <v>26</v>
      </c>
      <c r="G397" s="292"/>
      <c r="H397" s="265" t="s">
        <v>770</v>
      </c>
      <c r="I397" s="27" t="s">
        <v>764</v>
      </c>
      <c r="J397" s="5" t="s">
        <v>65</v>
      </c>
      <c r="K397" s="36" t="s">
        <v>771</v>
      </c>
      <c r="L397" s="27" t="str">
        <f>VLOOKUP(K397,[1]CódigosRetorno!$A$2:$B$1996,2,FALSE)</f>
        <v>El XML no contiene el tag o no existe informacion de direccion detallada de punto de llegada.</v>
      </c>
      <c r="M397" s="5" t="s">
        <v>67</v>
      </c>
      <c r="N397" s="5"/>
      <c r="O397" s="6"/>
    </row>
    <row r="398" spans="1:15" ht="72" x14ac:dyDescent="0.25">
      <c r="A398" s="6"/>
      <c r="B398" s="266"/>
      <c r="C398" s="267"/>
      <c r="D398" s="268"/>
      <c r="E398" s="269"/>
      <c r="F398" s="265"/>
      <c r="G398" s="292"/>
      <c r="H398" s="265"/>
      <c r="I398" s="27" t="s">
        <v>772</v>
      </c>
      <c r="J398" s="5" t="s">
        <v>111</v>
      </c>
      <c r="K398" s="36" t="s">
        <v>773</v>
      </c>
      <c r="L398" s="27" t="str">
        <f>VLOOKUP(K398,[1]CódigosRetorno!$A$2:$B$1996,2,FALSE)</f>
        <v>Direccion de punto de llegada - El dato ingresado no cumple con el formato establecido.</v>
      </c>
      <c r="M398" s="5" t="s">
        <v>67</v>
      </c>
      <c r="N398" s="5"/>
      <c r="O398" s="6"/>
    </row>
    <row r="399" spans="1:15" ht="41.1" customHeight="1" x14ac:dyDescent="0.25">
      <c r="A399" s="6"/>
      <c r="B399" s="295">
        <f>B397+1</f>
        <v>67</v>
      </c>
      <c r="C399" s="273" t="s">
        <v>774</v>
      </c>
      <c r="D399" s="287" t="s">
        <v>61</v>
      </c>
      <c r="E399" s="271" t="s">
        <v>15</v>
      </c>
      <c r="F399" s="271" t="s">
        <v>143</v>
      </c>
      <c r="G399" s="271" t="s">
        <v>144</v>
      </c>
      <c r="H399" s="273" t="s">
        <v>775</v>
      </c>
      <c r="I399" s="27" t="s">
        <v>776</v>
      </c>
      <c r="J399" s="5" t="s">
        <v>65</v>
      </c>
      <c r="K399" s="41" t="s">
        <v>729</v>
      </c>
      <c r="L399" s="27" t="str">
        <f>VLOOKUP(K399,[1]CódigosRetorno!$A$2:$B$1996,2,FALSE)</f>
        <v>Debe indicar el Numero de RUC al cual pertenece el Codigo de establecimiento anexo del punto de partida/llegada</v>
      </c>
      <c r="M399" s="5" t="s">
        <v>67</v>
      </c>
      <c r="N399" s="5"/>
      <c r="O399" s="6"/>
    </row>
    <row r="400" spans="1:15" ht="41.1" customHeight="1" x14ac:dyDescent="0.25">
      <c r="A400" s="6"/>
      <c r="B400" s="296"/>
      <c r="C400" s="279"/>
      <c r="D400" s="288"/>
      <c r="E400" s="285"/>
      <c r="F400" s="285"/>
      <c r="G400" s="285"/>
      <c r="H400" s="279"/>
      <c r="I400" s="27" t="s">
        <v>777</v>
      </c>
      <c r="J400" s="5" t="s">
        <v>65</v>
      </c>
      <c r="K400" s="41" t="s">
        <v>731</v>
      </c>
      <c r="L400" s="27" t="str">
        <f>VLOOKUP(K400,[1]CódigosRetorno!$A$2:$B$1996,2,FALSE)</f>
        <v>El Numero de RUC  asociado al punto de partida/llegada no debe ser el igual al Numero de RUC del remitente</v>
      </c>
      <c r="M400" s="5" t="s">
        <v>67</v>
      </c>
      <c r="N400" s="5"/>
      <c r="O400" s="6"/>
    </row>
    <row r="401" spans="1:15" ht="41.1" customHeight="1" x14ac:dyDescent="0.25">
      <c r="A401" s="6"/>
      <c r="B401" s="296"/>
      <c r="C401" s="279"/>
      <c r="D401" s="288"/>
      <c r="E401" s="285"/>
      <c r="F401" s="285"/>
      <c r="G401" s="285"/>
      <c r="H401" s="279"/>
      <c r="I401" s="27" t="s">
        <v>732</v>
      </c>
      <c r="J401" s="5" t="s">
        <v>65</v>
      </c>
      <c r="K401" s="41" t="s">
        <v>733</v>
      </c>
      <c r="L401" s="27" t="str">
        <f>VLOOKUP(K401,[1]CódigosRetorno!$A$2:$B$1996,2,FALSE)</f>
        <v>El Numero de RUC  asociado al punto de partida/llegada debe ser el igual al Numero de RUC del remitente</v>
      </c>
      <c r="M401" s="5" t="s">
        <v>67</v>
      </c>
      <c r="N401" s="5"/>
      <c r="O401" s="6"/>
    </row>
    <row r="402" spans="1:15" ht="24" x14ac:dyDescent="0.25">
      <c r="A402" s="6"/>
      <c r="B402" s="296"/>
      <c r="C402" s="279"/>
      <c r="D402" s="288"/>
      <c r="E402" s="285"/>
      <c r="F402" s="285"/>
      <c r="G402" s="285"/>
      <c r="H402" s="279"/>
      <c r="I402" s="27" t="s">
        <v>736</v>
      </c>
      <c r="J402" s="5" t="s">
        <v>65</v>
      </c>
      <c r="K402" s="41" t="s">
        <v>263</v>
      </c>
      <c r="L402" s="27" t="str">
        <f>VLOOKUP(K402,[1]CódigosRetorno!$A$2:$B$1996,2,FALSE)</f>
        <v>El Numero de RUC no cumple con el formato establecido</v>
      </c>
      <c r="M402" s="5" t="s">
        <v>67</v>
      </c>
      <c r="N402" s="5"/>
      <c r="O402" s="6"/>
    </row>
    <row r="403" spans="1:15" ht="24" x14ac:dyDescent="0.25">
      <c r="A403" s="6"/>
      <c r="B403" s="297"/>
      <c r="C403" s="274"/>
      <c r="D403" s="291"/>
      <c r="E403" s="272"/>
      <c r="F403" s="272"/>
      <c r="G403" s="272"/>
      <c r="H403" s="274"/>
      <c r="I403" s="27" t="s">
        <v>737</v>
      </c>
      <c r="J403" s="5" t="s">
        <v>65</v>
      </c>
      <c r="K403" s="41" t="s">
        <v>738</v>
      </c>
      <c r="L403" s="27" t="str">
        <f>VLOOKUP(K403,[1]CódigosRetorno!$A$2:$B$1996,2,FALSE)</f>
        <v>El Numero de RUC aociado al establecimiento del punto de partida/llegada no existe</v>
      </c>
      <c r="M403" s="5" t="s">
        <v>85</v>
      </c>
      <c r="N403" s="5" t="s">
        <v>150</v>
      </c>
      <c r="O403" s="6"/>
    </row>
    <row r="404" spans="1:15" ht="24" x14ac:dyDescent="0.25">
      <c r="A404" s="6"/>
      <c r="B404" s="266">
        <f>B399+1</f>
        <v>68</v>
      </c>
      <c r="C404" s="267" t="s">
        <v>778</v>
      </c>
      <c r="D404" s="268" t="s">
        <v>61</v>
      </c>
      <c r="E404" s="269" t="s">
        <v>15</v>
      </c>
      <c r="F404" s="271" t="s">
        <v>29</v>
      </c>
      <c r="G404" s="271" t="s">
        <v>6</v>
      </c>
      <c r="H404" s="265" t="s">
        <v>779</v>
      </c>
      <c r="I404" s="27" t="s">
        <v>780</v>
      </c>
      <c r="J404" s="5" t="s">
        <v>65</v>
      </c>
      <c r="K404" s="41" t="s">
        <v>781</v>
      </c>
      <c r="L404" s="27" t="str">
        <f>VLOOKUP(K404,[1]CódigosRetorno!$A$2:$B$1996,2,FALSE)</f>
        <v>El codigo de establecimiento anexo del punto de llegada no existe o no contiene informacion</v>
      </c>
      <c r="M404" s="5" t="s">
        <v>67</v>
      </c>
      <c r="N404" s="5"/>
      <c r="O404" s="6"/>
    </row>
    <row r="405" spans="1:15" ht="24" x14ac:dyDescent="0.25">
      <c r="A405" s="6"/>
      <c r="B405" s="266"/>
      <c r="C405" s="267"/>
      <c r="D405" s="268"/>
      <c r="E405" s="269"/>
      <c r="F405" s="285"/>
      <c r="G405" s="285"/>
      <c r="H405" s="265"/>
      <c r="I405" s="27" t="s">
        <v>743</v>
      </c>
      <c r="J405" s="5" t="s">
        <v>65</v>
      </c>
      <c r="K405" s="41" t="s">
        <v>781</v>
      </c>
      <c r="L405" s="27" t="str">
        <f>VLOOKUP(K405,[1]CódigosRetorno!$A$2:$B$1996,2,FALSE)</f>
        <v>El codigo de establecimiento anexo del punto de llegada no existe o no contiene informacion</v>
      </c>
      <c r="M405" s="5" t="s">
        <v>67</v>
      </c>
      <c r="N405" s="5"/>
      <c r="O405" s="6"/>
    </row>
    <row r="406" spans="1:15" ht="24" x14ac:dyDescent="0.25">
      <c r="A406" s="6"/>
      <c r="B406" s="266"/>
      <c r="C406" s="267"/>
      <c r="D406" s="268"/>
      <c r="E406" s="269"/>
      <c r="F406" s="285"/>
      <c r="G406" s="285"/>
      <c r="H406" s="265"/>
      <c r="I406" s="27" t="s">
        <v>782</v>
      </c>
      <c r="J406" s="5" t="s">
        <v>65</v>
      </c>
      <c r="K406" s="41" t="s">
        <v>783</v>
      </c>
      <c r="L406" s="27" t="str">
        <f>VLOOKUP(K406,[1]CódigosRetorno!$A$2:$B$1996,2,FALSE)</f>
        <v>No corresponde informar codigo de establecimiento del punto de llegada</v>
      </c>
      <c r="M406" s="5" t="s">
        <v>67</v>
      </c>
      <c r="N406" s="5"/>
      <c r="O406" s="6"/>
    </row>
    <row r="407" spans="1:15" ht="24" x14ac:dyDescent="0.25">
      <c r="A407" s="6"/>
      <c r="B407" s="266"/>
      <c r="C407" s="267"/>
      <c r="D407" s="268"/>
      <c r="E407" s="269"/>
      <c r="F407" s="285"/>
      <c r="G407" s="285"/>
      <c r="H407" s="265"/>
      <c r="I407" s="27" t="s">
        <v>784</v>
      </c>
      <c r="J407" s="5" t="s">
        <v>65</v>
      </c>
      <c r="K407" s="41" t="s">
        <v>781</v>
      </c>
      <c r="L407" s="27" t="str">
        <f>VLOOKUP(K407,[1]CódigosRetorno!$A$2:$B$1996,2,FALSE)</f>
        <v>El codigo de establecimiento anexo del punto de llegada no existe o no contiene informacion</v>
      </c>
      <c r="M407" s="5" t="s">
        <v>67</v>
      </c>
      <c r="N407" s="5"/>
      <c r="O407" s="6"/>
    </row>
    <row r="408" spans="1:15" ht="48" x14ac:dyDescent="0.25">
      <c r="A408" s="6"/>
      <c r="B408" s="266"/>
      <c r="C408" s="267"/>
      <c r="D408" s="268"/>
      <c r="E408" s="269"/>
      <c r="F408" s="285"/>
      <c r="G408" s="285"/>
      <c r="H408" s="265"/>
      <c r="I408" s="27" t="s">
        <v>785</v>
      </c>
      <c r="J408" s="5" t="s">
        <v>65</v>
      </c>
      <c r="K408" s="41" t="s">
        <v>786</v>
      </c>
      <c r="L408" s="27" t="str">
        <f>VLOOKUP(K408,[1]CódigosRetorno!$A$2:$B$1996,2,FALSE)</f>
        <v>El codigo de establecimiento anexo del punto de llegada no esta declarado en SUNAT</v>
      </c>
      <c r="M408" s="5" t="s">
        <v>85</v>
      </c>
      <c r="N408" s="5" t="s">
        <v>747</v>
      </c>
      <c r="O408" s="6"/>
    </row>
    <row r="409" spans="1:15" ht="60" x14ac:dyDescent="0.25">
      <c r="A409" s="6"/>
      <c r="B409" s="266"/>
      <c r="C409" s="267"/>
      <c r="D409" s="268"/>
      <c r="E409" s="269"/>
      <c r="F409" s="285"/>
      <c r="G409" s="285"/>
      <c r="H409" s="265"/>
      <c r="I409" s="27" t="s">
        <v>787</v>
      </c>
      <c r="J409" s="5" t="s">
        <v>65</v>
      </c>
      <c r="K409" s="41" t="s">
        <v>786</v>
      </c>
      <c r="L409" s="27" t="str">
        <f>VLOOKUP(K409,[1]CódigosRetorno!$A$2:$B$1996,2,FALSE)</f>
        <v>El codigo de establecimiento anexo del punto de llegada no esta declarado en SUNAT</v>
      </c>
      <c r="M409" s="5" t="s">
        <v>85</v>
      </c>
      <c r="N409" s="5" t="s">
        <v>747</v>
      </c>
      <c r="O409" s="6"/>
    </row>
    <row r="410" spans="1:15" ht="60" x14ac:dyDescent="0.25">
      <c r="A410" s="6"/>
      <c r="B410" s="266"/>
      <c r="C410" s="267"/>
      <c r="D410" s="268"/>
      <c r="E410" s="269"/>
      <c r="F410" s="272"/>
      <c r="G410" s="272"/>
      <c r="H410" s="265"/>
      <c r="I410" s="27" t="s">
        <v>788</v>
      </c>
      <c r="J410" s="5" t="s">
        <v>65</v>
      </c>
      <c r="K410" s="41" t="s">
        <v>789</v>
      </c>
      <c r="L410" s="27" t="str">
        <f>VLOOKUP(K410,[1]CódigosRetorno!$A$2:$B$1996,2,FALSE)</f>
        <v>El codigo de establecimiento anexo del punto de llegada no coincide con el ubigeo de llegada consignado</v>
      </c>
      <c r="M410" s="5" t="s">
        <v>85</v>
      </c>
      <c r="N410" s="5" t="s">
        <v>747</v>
      </c>
      <c r="O410" s="6"/>
    </row>
    <row r="411" spans="1:15" ht="24" x14ac:dyDescent="0.25">
      <c r="A411" s="6"/>
      <c r="B411" s="266"/>
      <c r="C411" s="267"/>
      <c r="D411" s="268"/>
      <c r="E411" s="269"/>
      <c r="F411" s="27"/>
      <c r="G411" s="188" t="s">
        <v>108</v>
      </c>
      <c r="H411" s="192" t="s">
        <v>109</v>
      </c>
      <c r="I411" s="33" t="s">
        <v>110</v>
      </c>
      <c r="J411" s="34" t="s">
        <v>111</v>
      </c>
      <c r="K411" s="30" t="s">
        <v>112</v>
      </c>
      <c r="L411" s="27" t="str">
        <f>VLOOKUP(K411,[1]CódigosRetorno!$A$2:$B$1996,2,FALSE)</f>
        <v>El dato ingresado como atributo @listAgencyName es incorrecto.</v>
      </c>
      <c r="M411" s="5" t="s">
        <v>67</v>
      </c>
      <c r="N411" s="5"/>
      <c r="O411" s="6"/>
    </row>
    <row r="412" spans="1:15" ht="13.35" customHeight="1" x14ac:dyDescent="0.25">
      <c r="A412" s="6"/>
      <c r="B412" s="266"/>
      <c r="C412" s="267"/>
      <c r="D412" s="268"/>
      <c r="E412" s="269"/>
      <c r="F412" s="27"/>
      <c r="G412" s="188" t="s">
        <v>751</v>
      </c>
      <c r="H412" s="192" t="s">
        <v>114</v>
      </c>
      <c r="I412" s="33" t="s">
        <v>752</v>
      </c>
      <c r="J412" s="34" t="s">
        <v>111</v>
      </c>
      <c r="K412" s="30" t="s">
        <v>116</v>
      </c>
      <c r="L412" s="27" t="str">
        <f>VLOOKUP(K412,[1]CódigosRetorno!$A$2:$B$1996,2,FALSE)</f>
        <v>El dato ingresado como atributo @listName es incorrecto.</v>
      </c>
      <c r="M412" s="5" t="s">
        <v>67</v>
      </c>
      <c r="N412" s="5"/>
      <c r="O412" s="6"/>
    </row>
    <row r="413" spans="1:15" ht="36" x14ac:dyDescent="0.25">
      <c r="A413" s="6"/>
      <c r="B413" s="266">
        <f>B404+1</f>
        <v>69</v>
      </c>
      <c r="C413" s="267" t="s">
        <v>790</v>
      </c>
      <c r="D413" s="294" t="s">
        <v>61</v>
      </c>
      <c r="E413" s="269" t="s">
        <v>15</v>
      </c>
      <c r="F413" s="188" t="s">
        <v>74</v>
      </c>
      <c r="G413" s="190" t="s">
        <v>754</v>
      </c>
      <c r="H413" s="189" t="s">
        <v>791</v>
      </c>
      <c r="I413" s="27" t="s">
        <v>756</v>
      </c>
      <c r="J413" s="5" t="s">
        <v>65</v>
      </c>
      <c r="K413" s="41" t="s">
        <v>757</v>
      </c>
      <c r="L413" s="27" t="str">
        <f>VLOOKUP(K413,[1]CódigosRetorno!$A$2:$B$1996,2,FALSE)</f>
        <v>El valor ingresado como Punto de georreferencia no cumple con el formato establecido</v>
      </c>
      <c r="M413" s="28" t="s">
        <v>67</v>
      </c>
      <c r="N413" s="28"/>
      <c r="O413" s="6"/>
    </row>
    <row r="414" spans="1:15" ht="13.35" customHeight="1" x14ac:dyDescent="0.25">
      <c r="A414" s="6"/>
      <c r="B414" s="266"/>
      <c r="C414" s="267"/>
      <c r="D414" s="294"/>
      <c r="E414" s="269"/>
      <c r="F414" s="28" t="s">
        <v>30</v>
      </c>
      <c r="G414" s="190" t="s">
        <v>758</v>
      </c>
      <c r="H414" s="192" t="s">
        <v>759</v>
      </c>
      <c r="I414" s="33" t="s">
        <v>391</v>
      </c>
      <c r="J414" s="5"/>
      <c r="K414" s="3" t="s">
        <v>58</v>
      </c>
      <c r="L414" s="27" t="str">
        <f>VLOOKUP(K414,[1]CódigosRetorno!$A$2:$B$1996,2,FALSE)</f>
        <v>-</v>
      </c>
      <c r="M414" s="5"/>
      <c r="N414" s="28"/>
      <c r="O414" s="6"/>
    </row>
    <row r="415" spans="1:15" ht="36" x14ac:dyDescent="0.25">
      <c r="A415" s="6"/>
      <c r="B415" s="266"/>
      <c r="C415" s="267"/>
      <c r="D415" s="294"/>
      <c r="E415" s="269"/>
      <c r="F415" s="188" t="s">
        <v>74</v>
      </c>
      <c r="G415" s="190" t="s">
        <v>754</v>
      </c>
      <c r="H415" s="189" t="s">
        <v>792</v>
      </c>
      <c r="I415" s="27" t="s">
        <v>756</v>
      </c>
      <c r="J415" s="5" t="s">
        <v>65</v>
      </c>
      <c r="K415" s="41" t="s">
        <v>757</v>
      </c>
      <c r="L415" s="27" t="str">
        <f>VLOOKUP(K415,[1]CódigosRetorno!$A$2:$B$1996,2,FALSE)</f>
        <v>El valor ingresado como Punto de georreferencia no cumple con el formato establecido</v>
      </c>
      <c r="M415" s="28" t="s">
        <v>67</v>
      </c>
      <c r="N415" s="28"/>
      <c r="O415" s="6"/>
    </row>
    <row r="416" spans="1:15" ht="13.35" customHeight="1" x14ac:dyDescent="0.25">
      <c r="A416" s="6"/>
      <c r="B416" s="266"/>
      <c r="C416" s="267"/>
      <c r="D416" s="294"/>
      <c r="E416" s="269"/>
      <c r="F416" s="28" t="s">
        <v>30</v>
      </c>
      <c r="G416" s="190" t="s">
        <v>758</v>
      </c>
      <c r="H416" s="192" t="s">
        <v>759</v>
      </c>
      <c r="I416" s="33" t="s">
        <v>391</v>
      </c>
      <c r="J416" s="5"/>
      <c r="K416" s="3" t="s">
        <v>58</v>
      </c>
      <c r="L416" s="27" t="str">
        <f>VLOOKUP(K416,[1]CódigosRetorno!$A$2:$B$1996,2,FALSE)</f>
        <v>-</v>
      </c>
      <c r="M416" s="28"/>
      <c r="N416" s="28"/>
      <c r="O416" s="6"/>
    </row>
    <row r="417" spans="1:15" x14ac:dyDescent="0.25">
      <c r="A417" s="6"/>
      <c r="B417" s="38" t="s">
        <v>793</v>
      </c>
      <c r="C417" s="39"/>
      <c r="D417" s="23"/>
      <c r="E417" s="23"/>
      <c r="F417" s="23"/>
      <c r="G417" s="24"/>
      <c r="H417" s="25"/>
      <c r="I417" s="23"/>
      <c r="J417" s="23"/>
      <c r="K417" s="23"/>
      <c r="L417" s="23"/>
      <c r="M417" s="23"/>
      <c r="N417" s="26"/>
      <c r="O417" s="6"/>
    </row>
    <row r="418" spans="1:15" ht="24.6" customHeight="1" x14ac:dyDescent="0.25">
      <c r="A418" s="6"/>
      <c r="B418" s="266">
        <f>B413+1</f>
        <v>70</v>
      </c>
      <c r="C418" s="298" t="s">
        <v>794</v>
      </c>
      <c r="D418" s="287" t="s">
        <v>61</v>
      </c>
      <c r="E418" s="271" t="s">
        <v>15</v>
      </c>
      <c r="F418" s="271" t="s">
        <v>19</v>
      </c>
      <c r="G418" s="271" t="s">
        <v>795</v>
      </c>
      <c r="H418" s="273" t="s">
        <v>796</v>
      </c>
      <c r="I418" s="27" t="s">
        <v>797</v>
      </c>
      <c r="J418" s="5" t="s">
        <v>111</v>
      </c>
      <c r="K418" s="41" t="s">
        <v>798</v>
      </c>
      <c r="L418" s="27" t="str">
        <f>VLOOKUP(K418,[1]CódigosRetorno!$A$2:$B$1996,2,FALSE)</f>
        <v>SI ingresa el Tipo de locacion debe consignar el Codigo de puerto/aeropuerto</v>
      </c>
      <c r="M418" s="5" t="s">
        <v>67</v>
      </c>
      <c r="N418" s="5"/>
      <c r="O418" s="6"/>
    </row>
    <row r="419" spans="1:15" ht="24.6" customHeight="1" x14ac:dyDescent="0.25">
      <c r="A419" s="6"/>
      <c r="B419" s="266"/>
      <c r="C419" s="301"/>
      <c r="D419" s="288"/>
      <c r="E419" s="285"/>
      <c r="F419" s="272"/>
      <c r="G419" s="272"/>
      <c r="H419" s="274"/>
      <c r="I419" s="27" t="s">
        <v>799</v>
      </c>
      <c r="J419" s="5" t="s">
        <v>65</v>
      </c>
      <c r="K419" s="41" t="s">
        <v>800</v>
      </c>
      <c r="L419" s="27" t="str">
        <f>VLOOKUP(K419,[1]CódigosRetorno!$A$2:$B$1996,2,FALSE)</f>
        <v>El dato ingresado como codigo del puerto no corresponde a un valor esperado</v>
      </c>
      <c r="M419" s="5" t="s">
        <v>67</v>
      </c>
      <c r="N419" s="5" t="s">
        <v>714</v>
      </c>
      <c r="O419" s="6"/>
    </row>
    <row r="420" spans="1:15" ht="24" x14ac:dyDescent="0.25">
      <c r="A420" s="6"/>
      <c r="B420" s="266"/>
      <c r="C420" s="301"/>
      <c r="D420" s="288"/>
      <c r="E420" s="285"/>
      <c r="F420" s="287"/>
      <c r="G420" s="188" t="s">
        <v>108</v>
      </c>
      <c r="H420" s="192" t="s">
        <v>137</v>
      </c>
      <c r="I420" s="33" t="s">
        <v>110</v>
      </c>
      <c r="J420" s="34" t="s">
        <v>111</v>
      </c>
      <c r="K420" s="30" t="s">
        <v>138</v>
      </c>
      <c r="L420" s="27" t="str">
        <f>VLOOKUP(K420,[1]CódigosRetorno!$A$2:$B$1996,2,FALSE)</f>
        <v>El dato ingresado como atributo @schemeAgencyName es incorrecto.</v>
      </c>
      <c r="M420" s="5" t="s">
        <v>67</v>
      </c>
      <c r="N420" s="5"/>
      <c r="O420" s="6"/>
    </row>
    <row r="421" spans="1:15" ht="24" x14ac:dyDescent="0.25">
      <c r="A421" s="6"/>
      <c r="B421" s="266"/>
      <c r="C421" s="301"/>
      <c r="D421" s="288"/>
      <c r="E421" s="285"/>
      <c r="F421" s="288"/>
      <c r="G421" s="188" t="s">
        <v>801</v>
      </c>
      <c r="H421" s="192" t="s">
        <v>134</v>
      </c>
      <c r="I421" s="33" t="s">
        <v>802</v>
      </c>
      <c r="J421" s="34" t="s">
        <v>111</v>
      </c>
      <c r="K421" s="30" t="s">
        <v>136</v>
      </c>
      <c r="L421" s="27" t="str">
        <f>VLOOKUP(K421,[1]CódigosRetorno!$A$2:$B$1996,2,FALSE)</f>
        <v>El dato ingresado como atributo @schemeName es incorrecto.</v>
      </c>
      <c r="M421" s="5" t="s">
        <v>67</v>
      </c>
      <c r="N421" s="5"/>
      <c r="O421" s="6"/>
    </row>
    <row r="422" spans="1:15" ht="36" x14ac:dyDescent="0.25">
      <c r="A422" s="6"/>
      <c r="B422" s="266"/>
      <c r="C422" s="301"/>
      <c r="D422" s="288"/>
      <c r="E422" s="285"/>
      <c r="F422" s="291"/>
      <c r="G422" s="190" t="s">
        <v>803</v>
      </c>
      <c r="H422" s="193" t="s">
        <v>140</v>
      </c>
      <c r="I422" s="40" t="s">
        <v>804</v>
      </c>
      <c r="J422" s="5" t="s">
        <v>111</v>
      </c>
      <c r="K422" s="3" t="s">
        <v>142</v>
      </c>
      <c r="L422" s="27" t="str">
        <f>VLOOKUP(K422,[1]CódigosRetorno!$A$2:$B$1996,2,FALSE)</f>
        <v>El dato ingresado como atributo @schemeURI es incorrecto.</v>
      </c>
      <c r="M422" s="28" t="s">
        <v>67</v>
      </c>
      <c r="N422" s="28"/>
      <c r="O422" s="6"/>
    </row>
    <row r="423" spans="1:15" ht="24.6" customHeight="1" x14ac:dyDescent="0.25">
      <c r="A423" s="6"/>
      <c r="B423" s="266"/>
      <c r="C423" s="301"/>
      <c r="D423" s="288"/>
      <c r="E423" s="285"/>
      <c r="F423" s="271" t="s">
        <v>17</v>
      </c>
      <c r="G423" s="282" t="s">
        <v>805</v>
      </c>
      <c r="H423" s="273" t="s">
        <v>806</v>
      </c>
      <c r="I423" s="27" t="s">
        <v>807</v>
      </c>
      <c r="J423" s="5" t="s">
        <v>111</v>
      </c>
      <c r="K423" s="3" t="s">
        <v>808</v>
      </c>
      <c r="L423" s="27" t="str">
        <f>VLOOKUP(K423,[1]CódigosRetorno!$A$2:$B$1996,2,FALSE)</f>
        <v>SI ingresa el Codigo del puerto/aeropuerto debe consignar el Tipo de locacion</v>
      </c>
      <c r="M423" s="5" t="s">
        <v>67</v>
      </c>
      <c r="N423" s="5"/>
      <c r="O423" s="6"/>
    </row>
    <row r="424" spans="1:15" ht="36" x14ac:dyDescent="0.25">
      <c r="A424" s="6"/>
      <c r="B424" s="266"/>
      <c r="C424" s="299"/>
      <c r="D424" s="291"/>
      <c r="E424" s="272"/>
      <c r="F424" s="272"/>
      <c r="G424" s="286"/>
      <c r="H424" s="274"/>
      <c r="I424" s="27" t="s">
        <v>809</v>
      </c>
      <c r="J424" s="5" t="s">
        <v>111</v>
      </c>
      <c r="K424" s="3" t="s">
        <v>810</v>
      </c>
      <c r="L424" s="27" t="str">
        <f>VLOOKUP(K424,[1]CódigosRetorno!$A$2:$B$1996,2,FALSE)</f>
        <v>El dato ingresado como Tipo de locacion no corresponde a un valor esperado</v>
      </c>
      <c r="M424" s="5" t="s">
        <v>67</v>
      </c>
      <c r="N424" s="5"/>
      <c r="O424" s="6"/>
    </row>
    <row r="425" spans="1:15" ht="24" x14ac:dyDescent="0.25">
      <c r="A425" s="6"/>
      <c r="B425" s="266">
        <f>B418+1</f>
        <v>71</v>
      </c>
      <c r="C425" s="298" t="s">
        <v>811</v>
      </c>
      <c r="D425" s="287" t="s">
        <v>61</v>
      </c>
      <c r="E425" s="271" t="s">
        <v>15</v>
      </c>
      <c r="F425" s="271" t="s">
        <v>19</v>
      </c>
      <c r="G425" s="271" t="s">
        <v>812</v>
      </c>
      <c r="H425" s="273" t="s">
        <v>813</v>
      </c>
      <c r="I425" s="27" t="s">
        <v>814</v>
      </c>
      <c r="J425" s="5" t="s">
        <v>111</v>
      </c>
      <c r="K425" s="41" t="s">
        <v>798</v>
      </c>
      <c r="L425" s="27" t="str">
        <f>VLOOKUP(K425,[1]CódigosRetorno!$A$2:$B$1996,2,FALSE)</f>
        <v>SI ingresa el Tipo de locacion debe consignar el Codigo de puerto/aeropuerto</v>
      </c>
      <c r="M425" s="5" t="s">
        <v>67</v>
      </c>
      <c r="N425" s="5"/>
      <c r="O425" s="6"/>
    </row>
    <row r="426" spans="1:15" ht="36" x14ac:dyDescent="0.25">
      <c r="A426" s="6"/>
      <c r="B426" s="266"/>
      <c r="C426" s="301"/>
      <c r="D426" s="288"/>
      <c r="E426" s="285"/>
      <c r="F426" s="272"/>
      <c r="G426" s="272"/>
      <c r="H426" s="274"/>
      <c r="I426" s="27" t="s">
        <v>815</v>
      </c>
      <c r="J426" s="5" t="s">
        <v>65</v>
      </c>
      <c r="K426" s="41" t="s">
        <v>816</v>
      </c>
      <c r="L426" s="27" t="str">
        <f>VLOOKUP(K426,[1]CódigosRetorno!$A$2:$B$1996,2,FALSE)</f>
        <v>El dato ingresado como codigo del aeropuerto no corresponde a un valor esperado</v>
      </c>
      <c r="M426" s="5" t="s">
        <v>67</v>
      </c>
      <c r="N426" s="5" t="s">
        <v>716</v>
      </c>
      <c r="O426" s="6"/>
    </row>
    <row r="427" spans="1:15" ht="24" x14ac:dyDescent="0.25">
      <c r="A427" s="6"/>
      <c r="B427" s="266"/>
      <c r="C427" s="301"/>
      <c r="D427" s="288"/>
      <c r="E427" s="285"/>
      <c r="F427" s="268"/>
      <c r="G427" s="188" t="s">
        <v>108</v>
      </c>
      <c r="H427" s="192" t="s">
        <v>137</v>
      </c>
      <c r="I427" s="33" t="s">
        <v>110</v>
      </c>
      <c r="J427" s="34" t="s">
        <v>111</v>
      </c>
      <c r="K427" s="30" t="s">
        <v>138</v>
      </c>
      <c r="L427" s="27" t="str">
        <f>VLOOKUP(K427,[1]CódigosRetorno!$A$2:$B$1996,2,FALSE)</f>
        <v>El dato ingresado como atributo @schemeAgencyName es incorrecto.</v>
      </c>
      <c r="M427" s="5" t="s">
        <v>67</v>
      </c>
      <c r="N427" s="5"/>
      <c r="O427" s="6"/>
    </row>
    <row r="428" spans="1:15" ht="24" x14ac:dyDescent="0.25">
      <c r="A428" s="6"/>
      <c r="B428" s="266"/>
      <c r="C428" s="301"/>
      <c r="D428" s="288"/>
      <c r="E428" s="285"/>
      <c r="F428" s="268"/>
      <c r="G428" s="188" t="s">
        <v>817</v>
      </c>
      <c r="H428" s="192" t="s">
        <v>134</v>
      </c>
      <c r="I428" s="33" t="s">
        <v>818</v>
      </c>
      <c r="J428" s="34" t="s">
        <v>111</v>
      </c>
      <c r="K428" s="30" t="s">
        <v>136</v>
      </c>
      <c r="L428" s="27" t="str">
        <f>VLOOKUP(K428,[1]CódigosRetorno!$A$2:$B$1996,2,FALSE)</f>
        <v>El dato ingresado como atributo @schemeName es incorrecto.</v>
      </c>
      <c r="M428" s="5" t="s">
        <v>67</v>
      </c>
      <c r="N428" s="5"/>
      <c r="O428" s="6"/>
    </row>
    <row r="429" spans="1:15" ht="36" x14ac:dyDescent="0.25">
      <c r="A429" s="6"/>
      <c r="B429" s="266"/>
      <c r="C429" s="301"/>
      <c r="D429" s="288"/>
      <c r="E429" s="285"/>
      <c r="F429" s="268"/>
      <c r="G429" s="190" t="s">
        <v>819</v>
      </c>
      <c r="H429" s="193" t="s">
        <v>140</v>
      </c>
      <c r="I429" s="40" t="s">
        <v>820</v>
      </c>
      <c r="J429" s="5" t="s">
        <v>111</v>
      </c>
      <c r="K429" s="3" t="s">
        <v>142</v>
      </c>
      <c r="L429" s="27" t="str">
        <f>VLOOKUP(K429,[1]CódigosRetorno!$A$2:$B$1996,2,FALSE)</f>
        <v>El dato ingresado como atributo @schemeURI es incorrecto.</v>
      </c>
      <c r="M429" s="28" t="s">
        <v>67</v>
      </c>
      <c r="N429" s="28"/>
      <c r="O429" s="6"/>
    </row>
    <row r="430" spans="1:15" ht="24.6" customHeight="1" x14ac:dyDescent="0.25">
      <c r="A430" s="6"/>
      <c r="B430" s="266"/>
      <c r="C430" s="301"/>
      <c r="D430" s="288"/>
      <c r="E430" s="285"/>
      <c r="F430" s="271" t="s">
        <v>17</v>
      </c>
      <c r="G430" s="282" t="s">
        <v>821</v>
      </c>
      <c r="H430" s="273" t="s">
        <v>806</v>
      </c>
      <c r="I430" s="27" t="s">
        <v>822</v>
      </c>
      <c r="J430" s="5" t="s">
        <v>111</v>
      </c>
      <c r="K430" s="3" t="s">
        <v>808</v>
      </c>
      <c r="L430" s="27" t="str">
        <f>VLOOKUP(K430,[1]CódigosRetorno!$A$2:$B$1996,2,FALSE)</f>
        <v>SI ingresa el Codigo del puerto/aeropuerto debe consignar el Tipo de locacion</v>
      </c>
      <c r="M430" s="5" t="s">
        <v>67</v>
      </c>
      <c r="N430" s="5"/>
      <c r="O430" s="6"/>
    </row>
    <row r="431" spans="1:15" ht="36" x14ac:dyDescent="0.25">
      <c r="A431" s="6"/>
      <c r="B431" s="266"/>
      <c r="C431" s="299"/>
      <c r="D431" s="291"/>
      <c r="E431" s="272"/>
      <c r="F431" s="272"/>
      <c r="G431" s="286"/>
      <c r="H431" s="274"/>
      <c r="I431" s="27" t="s">
        <v>823</v>
      </c>
      <c r="J431" s="5" t="s">
        <v>111</v>
      </c>
      <c r="K431" s="3" t="s">
        <v>810</v>
      </c>
      <c r="L431" s="27" t="str">
        <f>VLOOKUP(K431,[1]CódigosRetorno!$A$2:$B$1996,2,FALSE)</f>
        <v>El dato ingresado como Tipo de locacion no corresponde a un valor esperado</v>
      </c>
      <c r="M431" s="5" t="s">
        <v>67</v>
      </c>
      <c r="N431" s="5"/>
      <c r="O431" s="6"/>
    </row>
    <row r="432" spans="1:15" ht="24.6" customHeight="1" x14ac:dyDescent="0.25">
      <c r="A432" s="6"/>
      <c r="B432" s="36">
        <f>B425+1</f>
        <v>72</v>
      </c>
      <c r="C432" s="184" t="s">
        <v>824</v>
      </c>
      <c r="D432" s="5" t="s">
        <v>61</v>
      </c>
      <c r="E432" s="188" t="s">
        <v>15</v>
      </c>
      <c r="F432" s="188" t="s">
        <v>31</v>
      </c>
      <c r="G432" s="49"/>
      <c r="H432" s="185" t="s">
        <v>825</v>
      </c>
      <c r="I432" s="27" t="s">
        <v>826</v>
      </c>
      <c r="J432" s="5" t="s">
        <v>111</v>
      </c>
      <c r="K432" s="41" t="s">
        <v>827</v>
      </c>
      <c r="L432" s="27" t="str">
        <f>VLOOKUP(K432,[1]CódigosRetorno!$A$2:$B$1996,2,FALSE)</f>
        <v>El Nombre del Puerto o Aeropuerto no existe o no contiene informacion</v>
      </c>
      <c r="M432" s="5" t="s">
        <v>67</v>
      </c>
      <c r="N432" s="5"/>
      <c r="O432" s="6"/>
    </row>
    <row r="433" spans="1:15" x14ac:dyDescent="0.25">
      <c r="A433" s="6"/>
      <c r="B433" s="38" t="s">
        <v>828</v>
      </c>
      <c r="C433" s="39"/>
      <c r="D433" s="23"/>
      <c r="E433" s="23"/>
      <c r="F433" s="23"/>
      <c r="G433" s="24"/>
      <c r="H433" s="25"/>
      <c r="I433" s="23"/>
      <c r="J433" s="23"/>
      <c r="K433" s="23"/>
      <c r="L433" s="23"/>
      <c r="M433" s="23"/>
      <c r="N433" s="26"/>
      <c r="O433" s="6"/>
    </row>
    <row r="434" spans="1:15" ht="24" x14ac:dyDescent="0.25">
      <c r="A434" s="6"/>
      <c r="B434" s="266">
        <f>B432+1</f>
        <v>73</v>
      </c>
      <c r="C434" s="267" t="s">
        <v>829</v>
      </c>
      <c r="D434" s="268" t="s">
        <v>830</v>
      </c>
      <c r="E434" s="269" t="s">
        <v>15</v>
      </c>
      <c r="F434" s="269" t="s">
        <v>831</v>
      </c>
      <c r="G434" s="280"/>
      <c r="H434" s="273" t="s">
        <v>832</v>
      </c>
      <c r="I434" s="27" t="s">
        <v>833</v>
      </c>
      <c r="J434" s="5" t="s">
        <v>65</v>
      </c>
      <c r="K434" s="3" t="s">
        <v>834</v>
      </c>
      <c r="L434" s="27" t="str">
        <f>VLOOKUP(K434,[1]CódigosRetorno!$A$2:$B$1996,2,FALSE)</f>
        <v>El Numero de orden del item no cumple con el formato establecido</v>
      </c>
      <c r="M434" s="5" t="s">
        <v>67</v>
      </c>
      <c r="N434" s="5"/>
      <c r="O434" s="6"/>
    </row>
    <row r="435" spans="1:15" x14ac:dyDescent="0.25">
      <c r="A435" s="6"/>
      <c r="B435" s="266"/>
      <c r="C435" s="267"/>
      <c r="D435" s="268"/>
      <c r="E435" s="269"/>
      <c r="F435" s="269"/>
      <c r="G435" s="281"/>
      <c r="H435" s="274"/>
      <c r="I435" s="29" t="s">
        <v>835</v>
      </c>
      <c r="J435" s="5" t="s">
        <v>65</v>
      </c>
      <c r="K435" s="3" t="s">
        <v>836</v>
      </c>
      <c r="L435" s="27" t="str">
        <f>VLOOKUP(K435,[1]CódigosRetorno!$A$2:$B$1996,2,FALSE)</f>
        <v>El número de ítem no puede estar duplicado.</v>
      </c>
      <c r="M435" s="5" t="s">
        <v>67</v>
      </c>
      <c r="N435" s="5"/>
      <c r="O435" s="6"/>
    </row>
    <row r="436" spans="1:15" ht="13.35" customHeight="1" x14ac:dyDescent="0.25">
      <c r="A436" s="6"/>
      <c r="B436" s="266"/>
      <c r="C436" s="267"/>
      <c r="D436" s="268"/>
      <c r="E436" s="269"/>
      <c r="F436" s="269"/>
      <c r="G436" s="281"/>
      <c r="H436" s="29" t="s">
        <v>837</v>
      </c>
      <c r="I436" s="27" t="s">
        <v>391</v>
      </c>
      <c r="J436" s="5"/>
      <c r="K436" s="36" t="s">
        <v>58</v>
      </c>
      <c r="L436" s="27" t="str">
        <f>VLOOKUP(K436,[1]CódigosRetorno!$A$2:$B$1996,2,FALSE)</f>
        <v>-</v>
      </c>
      <c r="M436" s="5"/>
      <c r="N436" s="5"/>
      <c r="O436" s="6"/>
    </row>
    <row r="437" spans="1:15" ht="24" x14ac:dyDescent="0.25">
      <c r="A437" s="6"/>
      <c r="B437" s="266">
        <f>+B434+1</f>
        <v>74</v>
      </c>
      <c r="C437" s="267" t="s">
        <v>838</v>
      </c>
      <c r="D437" s="268" t="s">
        <v>830</v>
      </c>
      <c r="E437" s="269" t="s">
        <v>15</v>
      </c>
      <c r="F437" s="269" t="s">
        <v>22</v>
      </c>
      <c r="G437" s="269" t="s">
        <v>23</v>
      </c>
      <c r="H437" s="265" t="s">
        <v>839</v>
      </c>
      <c r="I437" s="29" t="s">
        <v>840</v>
      </c>
      <c r="J437" s="5" t="s">
        <v>65</v>
      </c>
      <c r="K437" s="36" t="s">
        <v>841</v>
      </c>
      <c r="L437" s="27" t="str">
        <f>VLOOKUP(K437,[1]CódigosRetorno!$A$2:$B$1996,2,FALSE)</f>
        <v>El XML No contiene el tag o no existe información de la cantidad del item.</v>
      </c>
      <c r="M437" s="5" t="s">
        <v>67</v>
      </c>
      <c r="N437" s="5"/>
      <c r="O437" s="6"/>
    </row>
    <row r="438" spans="1:15" ht="24" x14ac:dyDescent="0.25">
      <c r="A438" s="6"/>
      <c r="B438" s="266"/>
      <c r="C438" s="267"/>
      <c r="D438" s="268"/>
      <c r="E438" s="269"/>
      <c r="F438" s="269"/>
      <c r="G438" s="269"/>
      <c r="H438" s="265"/>
      <c r="I438" s="29" t="s">
        <v>842</v>
      </c>
      <c r="J438" s="5" t="s">
        <v>65</v>
      </c>
      <c r="K438" s="41" t="s">
        <v>843</v>
      </c>
      <c r="L438" s="27" t="str">
        <f>VLOOKUP(K438,[1]CódigosRetorno!$A$2:$B$1996,2,FALSE)</f>
        <v>El valor ingresado en cantidad de items no cumple con el estandar</v>
      </c>
      <c r="M438" s="5" t="s">
        <v>67</v>
      </c>
      <c r="N438" s="5"/>
      <c r="O438" s="6"/>
    </row>
    <row r="439" spans="1:15" ht="48" x14ac:dyDescent="0.25">
      <c r="A439" s="6"/>
      <c r="B439" s="266"/>
      <c r="C439" s="267"/>
      <c r="D439" s="268"/>
      <c r="E439" s="269"/>
      <c r="F439" s="269"/>
      <c r="G439" s="269"/>
      <c r="H439" s="265"/>
      <c r="I439" s="29" t="s">
        <v>844</v>
      </c>
      <c r="J439" s="5" t="s">
        <v>111</v>
      </c>
      <c r="K439" s="41" t="s">
        <v>845</v>
      </c>
      <c r="L439" s="27" t="str">
        <f>VLOOKUP(K439,[1]CódigosRetorno!$A$2:$B$1996,2,FALSE)</f>
        <v>Ya se ha emitido una GRE por esta DAM o DS. La generacion de la GRE sera bajo su responsabilidad pues no se cuenta con saldo suficiente para este tipo de traslado</v>
      </c>
      <c r="M439" s="5" t="s">
        <v>85</v>
      </c>
      <c r="N439" s="5" t="s">
        <v>238</v>
      </c>
      <c r="O439" s="6"/>
    </row>
    <row r="440" spans="1:15" ht="24" x14ac:dyDescent="0.25">
      <c r="A440" s="6"/>
      <c r="B440" s="266">
        <f>+B437+1</f>
        <v>75</v>
      </c>
      <c r="C440" s="267" t="s">
        <v>846</v>
      </c>
      <c r="D440" s="268" t="s">
        <v>830</v>
      </c>
      <c r="E440" s="269" t="s">
        <v>15</v>
      </c>
      <c r="F440" s="300" t="s">
        <v>20</v>
      </c>
      <c r="G440" s="269" t="s">
        <v>847</v>
      </c>
      <c r="H440" s="265" t="s">
        <v>848</v>
      </c>
      <c r="I440" s="29" t="s">
        <v>849</v>
      </c>
      <c r="J440" s="5" t="s">
        <v>65</v>
      </c>
      <c r="K440" s="41" t="s">
        <v>850</v>
      </c>
      <c r="L440" s="27" t="str">
        <f>VLOOKUP(K440,[1]CódigosRetorno!$A$2:$B$1996,2,FALSE)</f>
        <v>Es obligatorio indicar la unidad de medida del ítem</v>
      </c>
      <c r="M440" s="5" t="s">
        <v>67</v>
      </c>
      <c r="N440" s="5"/>
      <c r="O440" s="6"/>
    </row>
    <row r="441" spans="1:15" ht="48" x14ac:dyDescent="0.25">
      <c r="A441" s="6"/>
      <c r="B441" s="266"/>
      <c r="C441" s="267"/>
      <c r="D441" s="268"/>
      <c r="E441" s="269"/>
      <c r="F441" s="300"/>
      <c r="G441" s="269"/>
      <c r="H441" s="265"/>
      <c r="I441" s="29" t="s">
        <v>851</v>
      </c>
      <c r="J441" s="5" t="s">
        <v>111</v>
      </c>
      <c r="K441" s="41" t="s">
        <v>852</v>
      </c>
      <c r="L441" s="27" t="str">
        <f>VLOOKUP(K441,[1]CódigosRetorno!$A$2:$B$1996,2,FALSE)</f>
        <v>El dato ingresado como unidad de medida no corresponde al valor esperado</v>
      </c>
      <c r="M441" s="5" t="s">
        <v>67</v>
      </c>
      <c r="N441" s="28" t="s">
        <v>853</v>
      </c>
      <c r="O441" s="6"/>
    </row>
    <row r="442" spans="1:15" ht="36" x14ac:dyDescent="0.25">
      <c r="A442" s="6"/>
      <c r="B442" s="266"/>
      <c r="C442" s="267"/>
      <c r="D442" s="268"/>
      <c r="E442" s="269"/>
      <c r="F442" s="300"/>
      <c r="G442" s="269"/>
      <c r="H442" s="265"/>
      <c r="I442" s="29" t="s">
        <v>854</v>
      </c>
      <c r="J442" s="5" t="s">
        <v>111</v>
      </c>
      <c r="K442" s="41" t="s">
        <v>852</v>
      </c>
      <c r="L442" s="27" t="str">
        <f>VLOOKUP(K442,[1]CódigosRetorno!$A$2:$B$1996,2,FALSE)</f>
        <v>El dato ingresado como unidad de medida no corresponde al valor esperado</v>
      </c>
      <c r="M442" s="5" t="s">
        <v>67</v>
      </c>
      <c r="N442" s="5"/>
      <c r="O442" s="6"/>
    </row>
    <row r="443" spans="1:15" ht="36" customHeight="1" x14ac:dyDescent="0.25">
      <c r="A443" s="6"/>
      <c r="B443" s="266"/>
      <c r="C443" s="267"/>
      <c r="D443" s="268"/>
      <c r="E443" s="269"/>
      <c r="F443" s="300"/>
      <c r="G443" s="269"/>
      <c r="H443" s="265"/>
      <c r="I443" s="29" t="s">
        <v>855</v>
      </c>
      <c r="J443" s="5" t="s">
        <v>65</v>
      </c>
      <c r="K443" s="41" t="s">
        <v>856</v>
      </c>
      <c r="L443" s="27" t="str">
        <f>VLOOKUP(K443,[1]CódigosRetorno!$A$2:$B$1996,2,FALSE)</f>
        <v>El dato ingresado como unidad de medida no corresponde al valor esperado</v>
      </c>
      <c r="M443" s="5" t="s">
        <v>67</v>
      </c>
      <c r="N443" s="5" t="s">
        <v>857</v>
      </c>
      <c r="O443" s="6"/>
    </row>
    <row r="444" spans="1:15" ht="24" x14ac:dyDescent="0.25">
      <c r="A444" s="6"/>
      <c r="B444" s="266"/>
      <c r="C444" s="267"/>
      <c r="D444" s="268"/>
      <c r="E444" s="269"/>
      <c r="F444" s="268"/>
      <c r="G444" s="188" t="s">
        <v>858</v>
      </c>
      <c r="H444" s="189" t="s">
        <v>859</v>
      </c>
      <c r="I444" s="33" t="s">
        <v>860</v>
      </c>
      <c r="J444" s="34" t="s">
        <v>111</v>
      </c>
      <c r="K444" s="30" t="s">
        <v>861</v>
      </c>
      <c r="L444" s="27" t="str">
        <f>VLOOKUP(K444,[1]CódigosRetorno!$A$2:$B$1996,2,FALSE)</f>
        <v>El dato ingresado como atributo @unitCodeListID es incorrecto.</v>
      </c>
      <c r="M444" s="5" t="s">
        <v>67</v>
      </c>
      <c r="N444" s="5"/>
      <c r="O444" s="6"/>
    </row>
    <row r="445" spans="1:15" ht="24" customHeight="1" x14ac:dyDescent="0.25">
      <c r="A445" s="6"/>
      <c r="B445" s="266"/>
      <c r="C445" s="267"/>
      <c r="D445" s="268"/>
      <c r="E445" s="269"/>
      <c r="F445" s="268"/>
      <c r="G445" s="190" t="s">
        <v>862</v>
      </c>
      <c r="H445" s="189" t="s">
        <v>863</v>
      </c>
      <c r="I445" s="33" t="s">
        <v>864</v>
      </c>
      <c r="J445" s="30" t="s">
        <v>111</v>
      </c>
      <c r="K445" s="35" t="s">
        <v>865</v>
      </c>
      <c r="L445" s="27" t="str">
        <f>VLOOKUP(K445,[1]CódigosRetorno!$A$2:$B$1996,2,FALSE)</f>
        <v>El dato ingresado como atributo @unitCodeListAgencyName es incorrecto.</v>
      </c>
      <c r="M445" s="5" t="s">
        <v>67</v>
      </c>
      <c r="N445" s="5"/>
      <c r="O445" s="6"/>
    </row>
    <row r="446" spans="1:15" ht="24" x14ac:dyDescent="0.25">
      <c r="A446" s="6"/>
      <c r="B446" s="266">
        <f>+B440+1</f>
        <v>76</v>
      </c>
      <c r="C446" s="267" t="s">
        <v>866</v>
      </c>
      <c r="D446" s="268" t="s">
        <v>830</v>
      </c>
      <c r="E446" s="269" t="s">
        <v>15</v>
      </c>
      <c r="F446" s="269" t="s">
        <v>26</v>
      </c>
      <c r="G446" s="292" t="s">
        <v>58</v>
      </c>
      <c r="H446" s="273" t="s">
        <v>867</v>
      </c>
      <c r="I446" s="29" t="s">
        <v>868</v>
      </c>
      <c r="J446" s="5" t="s">
        <v>65</v>
      </c>
      <c r="K446" s="5" t="s">
        <v>869</v>
      </c>
      <c r="L446" s="27" t="str">
        <f>VLOOKUP(K446,[1]CódigosRetorno!$A$2:$B$1996,2,FALSE)</f>
        <v>El XML no contiene el atributo o no existe informacion de descripcion del items</v>
      </c>
      <c r="M446" s="5" t="s">
        <v>67</v>
      </c>
      <c r="N446" s="5"/>
      <c r="O446" s="6"/>
    </row>
    <row r="447" spans="1:15" ht="60" x14ac:dyDescent="0.25">
      <c r="A447" s="6"/>
      <c r="B447" s="266"/>
      <c r="C447" s="267"/>
      <c r="D447" s="268"/>
      <c r="E447" s="269"/>
      <c r="F447" s="269"/>
      <c r="G447" s="292"/>
      <c r="H447" s="274"/>
      <c r="I447" s="29" t="s">
        <v>870</v>
      </c>
      <c r="J447" s="5" t="s">
        <v>111</v>
      </c>
      <c r="K447" s="3" t="s">
        <v>871</v>
      </c>
      <c r="L447" s="27" t="str">
        <f>VLOOKUP(K447,[1]CódigosRetorno!$A$2:$B$1996,2,FALSE)</f>
        <v>Descripción del Ítem - El dato ingresado no cumple con el formato establecido.</v>
      </c>
      <c r="M447" s="5" t="s">
        <v>67</v>
      </c>
      <c r="N447" s="5"/>
      <c r="O447" s="6"/>
    </row>
    <row r="448" spans="1:15" ht="50.45" customHeight="1" x14ac:dyDescent="0.25">
      <c r="A448" s="6"/>
      <c r="B448" s="36">
        <f>+B446+1</f>
        <v>77</v>
      </c>
      <c r="C448" s="114" t="s">
        <v>872</v>
      </c>
      <c r="D448" s="5" t="s">
        <v>830</v>
      </c>
      <c r="E448" s="188" t="s">
        <v>15</v>
      </c>
      <c r="F448" s="188" t="s">
        <v>24</v>
      </c>
      <c r="G448" s="37" t="s">
        <v>58</v>
      </c>
      <c r="H448" s="189" t="s">
        <v>873</v>
      </c>
      <c r="I448" s="27" t="s">
        <v>874</v>
      </c>
      <c r="J448" s="5" t="s">
        <v>111</v>
      </c>
      <c r="K448" s="36" t="s">
        <v>875</v>
      </c>
      <c r="L448" s="27" t="str">
        <f>VLOOKUP(K448,[1]CódigosRetorno!$A$2:$B$1996,2,FALSE)</f>
        <v>Código del Ítem - El dato ingresado no cumple con el formato establecido.</v>
      </c>
      <c r="M448" s="5" t="s">
        <v>67</v>
      </c>
      <c r="N448" s="5"/>
      <c r="O448" s="6"/>
    </row>
    <row r="449" spans="1:15" ht="24" customHeight="1" x14ac:dyDescent="0.25">
      <c r="A449" s="6"/>
      <c r="B449" s="295">
        <f>+B448+1</f>
        <v>78</v>
      </c>
      <c r="C449" s="273" t="s">
        <v>876</v>
      </c>
      <c r="D449" s="287" t="s">
        <v>830</v>
      </c>
      <c r="E449" s="271" t="s">
        <v>15</v>
      </c>
      <c r="F449" s="271" t="s">
        <v>877</v>
      </c>
      <c r="G449" s="282" t="s">
        <v>878</v>
      </c>
      <c r="H449" s="273" t="s">
        <v>1971</v>
      </c>
      <c r="I449" s="27" t="s">
        <v>880</v>
      </c>
      <c r="J449" s="5" t="s">
        <v>65</v>
      </c>
      <c r="K449" s="3" t="s">
        <v>881</v>
      </c>
      <c r="L449" s="27" t="str">
        <f>VLOOKUP(K449,[1]CódigosRetorno!$A$2:$B$1996,2,FALSE)</f>
        <v>Si el bien es regulado por SUNAT (existe Indicador de bien normalizado), debe indicar el Codigo de producto SUNAT</v>
      </c>
      <c r="M449" s="5" t="s">
        <v>67</v>
      </c>
      <c r="N449" s="5"/>
      <c r="O449" s="6"/>
    </row>
    <row r="450" spans="1:15" ht="36" x14ac:dyDescent="0.25">
      <c r="A450" s="6"/>
      <c r="B450" s="296"/>
      <c r="C450" s="279"/>
      <c r="D450" s="288"/>
      <c r="E450" s="285"/>
      <c r="F450" s="285"/>
      <c r="G450" s="283"/>
      <c r="H450" s="279"/>
      <c r="I450" s="27" t="s">
        <v>882</v>
      </c>
      <c r="J450" s="5" t="s">
        <v>65</v>
      </c>
      <c r="K450" s="3" t="s">
        <v>883</v>
      </c>
      <c r="L450" s="27" t="str">
        <f>VLOOKUP(K450,[1]CódigosRetorno!$A$2:$B$1996,2,FALSE)</f>
        <v>El Código producto de SUNAT  no es válido</v>
      </c>
      <c r="M450" s="5" t="s">
        <v>67</v>
      </c>
      <c r="N450" s="27"/>
      <c r="O450" s="6"/>
    </row>
    <row r="451" spans="1:15" ht="24" x14ac:dyDescent="0.25">
      <c r="A451" s="6"/>
      <c r="B451" s="296"/>
      <c r="C451" s="279"/>
      <c r="D451" s="288"/>
      <c r="E451" s="285"/>
      <c r="F451" s="285"/>
      <c r="G451" s="283"/>
      <c r="H451" s="279"/>
      <c r="I451" s="27" t="s">
        <v>884</v>
      </c>
      <c r="J451" s="5" t="s">
        <v>65</v>
      </c>
      <c r="K451" s="41" t="s">
        <v>885</v>
      </c>
      <c r="L451" s="27" t="str">
        <f>VLOOKUP(K451,[1]CódigosRetorno!$A$2:$B$1996,2,FALSE)</f>
        <v>El Codigo de Producto SUNAT no se encuentra en el listado</v>
      </c>
      <c r="M451" s="5" t="s">
        <v>67</v>
      </c>
      <c r="N451" s="28" t="s">
        <v>886</v>
      </c>
      <c r="O451" s="6"/>
    </row>
    <row r="452" spans="1:15" ht="48" x14ac:dyDescent="0.25">
      <c r="A452" s="6"/>
      <c r="B452" s="296"/>
      <c r="C452" s="279"/>
      <c r="D452" s="288"/>
      <c r="E452" s="285"/>
      <c r="F452" s="285"/>
      <c r="G452" s="283"/>
      <c r="H452" s="279"/>
      <c r="I452" s="27" t="s">
        <v>887</v>
      </c>
      <c r="J452" s="5" t="s">
        <v>65</v>
      </c>
      <c r="K452" s="3" t="s">
        <v>888</v>
      </c>
      <c r="L452" s="27" t="str">
        <f>VLOOKUP(K452,[1]CódigosRetorno!$A$2:$B$1996,2,FALSE)</f>
        <v>El Codigo de producto SUNAT no esta en el listado de bienes normalizados</v>
      </c>
      <c r="M452" s="5" t="s">
        <v>67</v>
      </c>
      <c r="N452" s="28" t="s">
        <v>889</v>
      </c>
      <c r="O452" s="6"/>
    </row>
    <row r="453" spans="1:15" ht="24" x14ac:dyDescent="0.25">
      <c r="A453" s="6"/>
      <c r="B453" s="296"/>
      <c r="C453" s="279"/>
      <c r="D453" s="288"/>
      <c r="E453" s="285"/>
      <c r="F453" s="288"/>
      <c r="G453" s="188" t="s">
        <v>890</v>
      </c>
      <c r="H453" s="191" t="s">
        <v>891</v>
      </c>
      <c r="I453" s="33" t="s">
        <v>892</v>
      </c>
      <c r="J453" s="28" t="s">
        <v>111</v>
      </c>
      <c r="K453" s="30" t="s">
        <v>893</v>
      </c>
      <c r="L453" s="27" t="str">
        <f>VLOOKUP(K453,[1]CódigosRetorno!$A$2:$B$1996,2,FALSE)</f>
        <v>El dato ingresado como atributo @listID es incorrecto.</v>
      </c>
      <c r="M453" s="30" t="s">
        <v>67</v>
      </c>
      <c r="N453" s="68"/>
      <c r="O453" s="6"/>
    </row>
    <row r="454" spans="1:15" ht="24" x14ac:dyDescent="0.25">
      <c r="A454" s="6"/>
      <c r="B454" s="296"/>
      <c r="C454" s="279"/>
      <c r="D454" s="288"/>
      <c r="E454" s="285"/>
      <c r="F454" s="288"/>
      <c r="G454" s="188" t="s">
        <v>894</v>
      </c>
      <c r="H454" s="191" t="s">
        <v>109</v>
      </c>
      <c r="I454" s="33" t="s">
        <v>895</v>
      </c>
      <c r="J454" s="28" t="s">
        <v>111</v>
      </c>
      <c r="K454" s="30" t="s">
        <v>112</v>
      </c>
      <c r="L454" s="27" t="str">
        <f>VLOOKUP(K454,[1]CódigosRetorno!$A$2:$B$1996,2,FALSE)</f>
        <v>El dato ingresado como atributo @listAgencyName es incorrecto.</v>
      </c>
      <c r="M454" s="30" t="s">
        <v>67</v>
      </c>
      <c r="N454" s="68"/>
      <c r="O454" s="6"/>
    </row>
    <row r="455" spans="1:15" ht="24" x14ac:dyDescent="0.25">
      <c r="A455" s="6"/>
      <c r="B455" s="297"/>
      <c r="C455" s="274"/>
      <c r="D455" s="291"/>
      <c r="E455" s="272"/>
      <c r="F455" s="291"/>
      <c r="G455" s="188" t="s">
        <v>896</v>
      </c>
      <c r="H455" s="191" t="s">
        <v>114</v>
      </c>
      <c r="I455" s="33" t="s">
        <v>897</v>
      </c>
      <c r="J455" s="28" t="s">
        <v>111</v>
      </c>
      <c r="K455" s="35" t="s">
        <v>116</v>
      </c>
      <c r="L455" s="27" t="str">
        <f>VLOOKUP(K455,[1]CódigosRetorno!$A$2:$B$1996,2,FALSE)</f>
        <v>El dato ingresado como atributo @listName es incorrecto.</v>
      </c>
      <c r="M455" s="35" t="s">
        <v>67</v>
      </c>
      <c r="N455" s="68"/>
      <c r="O455" s="6"/>
    </row>
    <row r="456" spans="1:15" ht="36" x14ac:dyDescent="0.25">
      <c r="A456" s="6"/>
      <c r="B456" s="266">
        <f>B449+1</f>
        <v>79</v>
      </c>
      <c r="C456" s="267" t="s">
        <v>898</v>
      </c>
      <c r="D456" s="268" t="s">
        <v>830</v>
      </c>
      <c r="E456" s="269" t="s">
        <v>15</v>
      </c>
      <c r="F456" s="188" t="s">
        <v>12</v>
      </c>
      <c r="G456" s="37" t="s">
        <v>58</v>
      </c>
      <c r="H456" s="189" t="s">
        <v>899</v>
      </c>
      <c r="I456" s="27" t="s">
        <v>900</v>
      </c>
      <c r="J456" s="5" t="s">
        <v>65</v>
      </c>
      <c r="K456" s="3" t="s">
        <v>901</v>
      </c>
      <c r="L456" s="27" t="str">
        <f>VLOOKUP(K456,[1]CódigosRetorno!$A$2:$B$1996,2,FALSE)</f>
        <v>El Codigo de Producto GTIN no cumple con el formato establecido</v>
      </c>
      <c r="M456" s="5" t="s">
        <v>67</v>
      </c>
      <c r="N456" s="5"/>
      <c r="O456" s="6"/>
    </row>
    <row r="457" spans="1:15" ht="24" x14ac:dyDescent="0.25">
      <c r="A457" s="6"/>
      <c r="B457" s="266"/>
      <c r="C457" s="267"/>
      <c r="D457" s="268"/>
      <c r="E457" s="269"/>
      <c r="F457" s="5"/>
      <c r="G457" s="37"/>
      <c r="H457" s="192" t="s">
        <v>902</v>
      </c>
      <c r="I457" s="27" t="s">
        <v>903</v>
      </c>
      <c r="J457" s="36" t="s">
        <v>111</v>
      </c>
      <c r="K457" s="3" t="s">
        <v>904</v>
      </c>
      <c r="L457" s="27" t="str">
        <f>VLOOKUP(K457,[1]CódigosRetorno!$A$2:$B$1996,2,FALSE)</f>
        <v>El tipo de estructura GS1 no tiene un valor permitido</v>
      </c>
      <c r="M457" s="5" t="s">
        <v>67</v>
      </c>
      <c r="N457" s="5"/>
      <c r="O457" s="6"/>
    </row>
    <row r="458" spans="1:15" ht="36" customHeight="1" x14ac:dyDescent="0.25">
      <c r="A458" s="6"/>
      <c r="B458" s="287" t="s">
        <v>905</v>
      </c>
      <c r="C458" s="273" t="s">
        <v>906</v>
      </c>
      <c r="D458" s="295" t="s">
        <v>830</v>
      </c>
      <c r="E458" s="311" t="s">
        <v>15</v>
      </c>
      <c r="F458" s="188" t="s">
        <v>35</v>
      </c>
      <c r="G458" s="5"/>
      <c r="H458" s="189" t="s">
        <v>907</v>
      </c>
      <c r="I458" s="33" t="s">
        <v>908</v>
      </c>
      <c r="J458" s="34" t="s">
        <v>111</v>
      </c>
      <c r="K458" s="31" t="s">
        <v>909</v>
      </c>
      <c r="L458" s="27" t="str">
        <f>VLOOKUP(K458,[1]CódigosRetorno!$A$2:$B$1996,2,FALSE)</f>
        <v>No existe información en el nombre del concepto.</v>
      </c>
      <c r="M458" s="5" t="s">
        <v>67</v>
      </c>
      <c r="N458" s="5"/>
      <c r="O458" s="6"/>
    </row>
    <row r="459" spans="1:15" ht="37.35" customHeight="1" x14ac:dyDescent="0.25">
      <c r="A459" s="6"/>
      <c r="B459" s="288"/>
      <c r="C459" s="279"/>
      <c r="D459" s="296"/>
      <c r="E459" s="312"/>
      <c r="F459" s="315" t="s">
        <v>29</v>
      </c>
      <c r="G459" s="311" t="s">
        <v>910</v>
      </c>
      <c r="H459" s="273" t="s">
        <v>911</v>
      </c>
      <c r="I459" s="27" t="s">
        <v>912</v>
      </c>
      <c r="J459" s="5" t="s">
        <v>65</v>
      </c>
      <c r="K459" s="3" t="s">
        <v>913</v>
      </c>
      <c r="L459" s="27" t="str">
        <f>VLOOKUP(K459,[1]CódigosRetorno!$A$2:$B$1996,2,FALSE)</f>
        <v>Si se trata de un bien normalizado por SUNAT, debe indicarse la Partida arancelaria</v>
      </c>
      <c r="M459" s="5" t="s">
        <v>67</v>
      </c>
      <c r="N459" s="5"/>
      <c r="O459" s="6"/>
    </row>
    <row r="460" spans="1:15" ht="37.35" customHeight="1" x14ac:dyDescent="0.25">
      <c r="A460" s="6"/>
      <c r="B460" s="288"/>
      <c r="C460" s="279"/>
      <c r="D460" s="296"/>
      <c r="E460" s="312"/>
      <c r="F460" s="304"/>
      <c r="G460" s="312"/>
      <c r="H460" s="279"/>
      <c r="I460" s="27" t="s">
        <v>914</v>
      </c>
      <c r="J460" s="5" t="s">
        <v>65</v>
      </c>
      <c r="K460" s="3" t="s">
        <v>915</v>
      </c>
      <c r="L460" s="27" t="str">
        <f>VLOOKUP(K460,[1]CódigosRetorno!$A$2:$B$1996,2,FALSE)</f>
        <v>Si el Motivo de traslado es 08-Importacion o 09-Exportacion y no es un Traslado Total de la DAM o DS, debe consignar la Numeracion de la DAM o DS</v>
      </c>
      <c r="M460" s="5" t="s">
        <v>67</v>
      </c>
      <c r="N460" s="5"/>
      <c r="O460" s="6"/>
    </row>
    <row r="461" spans="1:15" ht="48" x14ac:dyDescent="0.25">
      <c r="A461" s="6"/>
      <c r="B461" s="288"/>
      <c r="C461" s="279"/>
      <c r="D461" s="296"/>
      <c r="E461" s="312"/>
      <c r="F461" s="316"/>
      <c r="G461" s="314"/>
      <c r="H461" s="274"/>
      <c r="I461" s="27" t="s">
        <v>916</v>
      </c>
      <c r="J461" s="5" t="s">
        <v>65</v>
      </c>
      <c r="K461" s="3" t="s">
        <v>917</v>
      </c>
      <c r="L461" s="27" t="str">
        <f>VLOOKUP(K461,[1]CódigosRetorno!$A$2:$B$1996,2,FALSE)</f>
        <v>Si el Motivo de traslado es 08-Importacion o 09-Exportacion y no es un Traslado Total de la DAM o DS, debe consignar la Numero de serie en la DAM o DS</v>
      </c>
      <c r="M461" s="5" t="s">
        <v>67</v>
      </c>
      <c r="N461" s="5"/>
      <c r="O461" s="6"/>
    </row>
    <row r="462" spans="1:15" ht="24" x14ac:dyDescent="0.25">
      <c r="A462" s="6"/>
      <c r="B462" s="288"/>
      <c r="C462" s="279"/>
      <c r="D462" s="296"/>
      <c r="E462" s="312"/>
      <c r="F462" s="302"/>
      <c r="G462" s="188" t="s">
        <v>918</v>
      </c>
      <c r="H462" s="189" t="s">
        <v>114</v>
      </c>
      <c r="I462" s="33" t="s">
        <v>919</v>
      </c>
      <c r="J462" s="30" t="s">
        <v>111</v>
      </c>
      <c r="K462" s="35" t="s">
        <v>116</v>
      </c>
      <c r="L462" s="27" t="str">
        <f>VLOOKUP(K462,[1]CódigosRetorno!$A$2:$B$1996,2,FALSE)</f>
        <v>El dato ingresado como atributo @listName es incorrecto.</v>
      </c>
      <c r="M462" s="5" t="s">
        <v>67</v>
      </c>
      <c r="N462" s="5"/>
      <c r="O462" s="6"/>
    </row>
    <row r="463" spans="1:15" ht="24" x14ac:dyDescent="0.25">
      <c r="A463" s="6"/>
      <c r="B463" s="288"/>
      <c r="C463" s="279"/>
      <c r="D463" s="296"/>
      <c r="E463" s="312"/>
      <c r="F463" s="302"/>
      <c r="G463" s="188" t="s">
        <v>108</v>
      </c>
      <c r="H463" s="189" t="s">
        <v>109</v>
      </c>
      <c r="I463" s="33" t="s">
        <v>110</v>
      </c>
      <c r="J463" s="34" t="s">
        <v>111</v>
      </c>
      <c r="K463" s="30" t="s">
        <v>112</v>
      </c>
      <c r="L463" s="27" t="str">
        <f>VLOOKUP(K463,[1]CódigosRetorno!$A$2:$B$1996,2,FALSE)</f>
        <v>El dato ingresado como atributo @listAgencyName es incorrecto.</v>
      </c>
      <c r="M463" s="5" t="s">
        <v>67</v>
      </c>
      <c r="N463" s="5"/>
      <c r="O463" s="6"/>
    </row>
    <row r="464" spans="1:15" ht="35.1" customHeight="1" x14ac:dyDescent="0.25">
      <c r="A464" s="6"/>
      <c r="B464" s="288"/>
      <c r="C464" s="279"/>
      <c r="D464" s="296"/>
      <c r="E464" s="312"/>
      <c r="F464" s="303"/>
      <c r="G464" s="190" t="s">
        <v>920</v>
      </c>
      <c r="H464" s="192" t="s">
        <v>118</v>
      </c>
      <c r="I464" s="33" t="s">
        <v>921</v>
      </c>
      <c r="J464" s="30" t="s">
        <v>111</v>
      </c>
      <c r="K464" s="35" t="s">
        <v>120</v>
      </c>
      <c r="L464" s="27" t="str">
        <f>VLOOKUP(K464,[1]CódigosRetorno!$A$2:$B$1996,2,FALSE)</f>
        <v>El dato ingresado como atributo @listURI es incorrecto.</v>
      </c>
      <c r="M464" s="5" t="s">
        <v>67</v>
      </c>
      <c r="N464" s="5"/>
      <c r="O464" s="6"/>
    </row>
    <row r="465" spans="1:15" ht="24" x14ac:dyDescent="0.25">
      <c r="A465" s="6"/>
      <c r="B465" s="288"/>
      <c r="C465" s="279"/>
      <c r="D465" s="296"/>
      <c r="E465" s="313"/>
      <c r="F465" s="304" t="s">
        <v>922</v>
      </c>
      <c r="G465" s="305"/>
      <c r="H465" s="273" t="s">
        <v>923</v>
      </c>
      <c r="I465" s="33" t="s">
        <v>924</v>
      </c>
      <c r="J465" s="5" t="s">
        <v>65</v>
      </c>
      <c r="K465" s="3" t="s">
        <v>925</v>
      </c>
      <c r="L465" s="27" t="str">
        <f>VLOOKUP(K465,[1]CódigosRetorno!$A$2:$B$1996,2,FALSE)</f>
        <v>El XML no contiene tag o no existe información del valor del concepto por linea.</v>
      </c>
      <c r="M465" s="5" t="s">
        <v>67</v>
      </c>
      <c r="N465" s="27"/>
      <c r="O465" s="6"/>
    </row>
    <row r="466" spans="1:15" ht="36" x14ac:dyDescent="0.25">
      <c r="A466" s="6"/>
      <c r="B466" s="288"/>
      <c r="C466" s="279"/>
      <c r="D466" s="296"/>
      <c r="E466" s="313"/>
      <c r="F466" s="304"/>
      <c r="G466" s="306"/>
      <c r="H466" s="279"/>
      <c r="I466" s="33" t="s">
        <v>926</v>
      </c>
      <c r="J466" s="5" t="s">
        <v>65</v>
      </c>
      <c r="K466" s="3" t="s">
        <v>927</v>
      </c>
      <c r="L466" s="27" t="str">
        <f>VLOOKUP(K466,[1]CódigosRetorno!$A$2:$B$1996,2,FALSE)</f>
        <v>La Partida arancelaria no cumple con el formato establecido</v>
      </c>
      <c r="M466" s="5" t="s">
        <v>67</v>
      </c>
      <c r="N466" s="27"/>
      <c r="O466" s="6"/>
    </row>
    <row r="467" spans="1:15" ht="24" x14ac:dyDescent="0.25">
      <c r="A467" s="6"/>
      <c r="B467" s="288"/>
      <c r="C467" s="279"/>
      <c r="D467" s="296"/>
      <c r="E467" s="313"/>
      <c r="F467" s="304"/>
      <c r="G467" s="306"/>
      <c r="H467" s="279"/>
      <c r="I467" s="27" t="s">
        <v>928</v>
      </c>
      <c r="J467" s="5" t="s">
        <v>65</v>
      </c>
      <c r="K467" s="3" t="s">
        <v>929</v>
      </c>
      <c r="L467" s="27" t="str">
        <f>VLOOKUP(K467,[1]CódigosRetorno!$A$2:$B$1996,2,FALSE)</f>
        <v>La Partida arancelaria no se encuentra en el listado</v>
      </c>
      <c r="M467" s="5" t="s">
        <v>85</v>
      </c>
      <c r="N467" s="5" t="s">
        <v>930</v>
      </c>
      <c r="O467" s="6"/>
    </row>
    <row r="468" spans="1:15" ht="48" x14ac:dyDescent="0.25">
      <c r="A468" s="6"/>
      <c r="B468" s="288"/>
      <c r="C468" s="279"/>
      <c r="D468" s="296"/>
      <c r="E468" s="313"/>
      <c r="F468" s="304"/>
      <c r="G468" s="306"/>
      <c r="H468" s="279"/>
      <c r="I468" s="27" t="s">
        <v>931</v>
      </c>
      <c r="J468" s="5" t="s">
        <v>65</v>
      </c>
      <c r="K468" s="3" t="s">
        <v>932</v>
      </c>
      <c r="L468" s="27" t="str">
        <f>VLOOKUP(K468,[1]CódigosRetorno!$A$2:$B$1996,2,FALSE)</f>
        <v>La Partida arancelaria no esta en el listado de bienes normalizados</v>
      </c>
      <c r="M468" s="5" t="s">
        <v>67</v>
      </c>
      <c r="N468" s="28" t="s">
        <v>889</v>
      </c>
      <c r="O468" s="6"/>
    </row>
    <row r="469" spans="1:15" ht="26.1" customHeight="1" x14ac:dyDescent="0.25">
      <c r="A469" s="6"/>
      <c r="B469" s="288"/>
      <c r="C469" s="279"/>
      <c r="D469" s="296"/>
      <c r="E469" s="313"/>
      <c r="F469" s="304"/>
      <c r="G469" s="307" t="s">
        <v>933</v>
      </c>
      <c r="H469" s="309" t="s">
        <v>934</v>
      </c>
      <c r="I469" s="33" t="s">
        <v>935</v>
      </c>
      <c r="J469" s="34" t="s">
        <v>65</v>
      </c>
      <c r="K469" s="30" t="s">
        <v>936</v>
      </c>
      <c r="L469" s="27" t="str">
        <f>VLOOKUP(K469,[1]CódigosRetorno!$A$2:$B$1996,2,FALSE)</f>
        <v>El Indicador de bien normalizado es invalido</v>
      </c>
      <c r="M469" s="5" t="s">
        <v>67</v>
      </c>
      <c r="N469" s="27"/>
      <c r="O469" s="6"/>
    </row>
    <row r="470" spans="1:15" ht="63" customHeight="1" x14ac:dyDescent="0.25">
      <c r="A470" s="6"/>
      <c r="B470" s="288"/>
      <c r="C470" s="279"/>
      <c r="D470" s="296"/>
      <c r="E470" s="313"/>
      <c r="F470" s="304"/>
      <c r="G470" s="308"/>
      <c r="H470" s="310"/>
      <c r="I470" s="27" t="s">
        <v>937</v>
      </c>
      <c r="J470" s="5" t="s">
        <v>65</v>
      </c>
      <c r="K470" s="3" t="s">
        <v>938</v>
      </c>
      <c r="L470" s="27" t="str">
        <f>VLOOKUP(K470,[1]CódigosRetorno!$A$2:$B$1996,2,FALSE)</f>
        <v>Debe consignar un documento relacionado igual a '49' (solo en caso de GRE-Remitente) u '80' para un traslado que comprende un bien normalizado</v>
      </c>
      <c r="M470" s="5" t="s">
        <v>67</v>
      </c>
      <c r="N470" s="27"/>
      <c r="O470" s="6"/>
    </row>
    <row r="471" spans="1:15" ht="36" x14ac:dyDescent="0.25">
      <c r="A471" s="6"/>
      <c r="B471" s="288"/>
      <c r="C471" s="279"/>
      <c r="D471" s="296"/>
      <c r="E471" s="312"/>
      <c r="F471" s="285" t="s">
        <v>939</v>
      </c>
      <c r="G471" s="282" t="s">
        <v>939</v>
      </c>
      <c r="H471" s="273" t="s">
        <v>940</v>
      </c>
      <c r="I471" s="27" t="s">
        <v>941</v>
      </c>
      <c r="J471" s="5" t="s">
        <v>65</v>
      </c>
      <c r="K471" s="3" t="s">
        <v>942</v>
      </c>
      <c r="L471" s="27" t="str">
        <f>VLOOKUP(K471,[1]CódigosRetorno!$A$2:$B$1996,2,FALSE)</f>
        <v>El valor ingresado como numero de DAM no cumple con el estandar.</v>
      </c>
      <c r="M471" s="5" t="s">
        <v>67</v>
      </c>
      <c r="N471" s="27"/>
      <c r="O471" s="6"/>
    </row>
    <row r="472" spans="1:15" ht="60" x14ac:dyDescent="0.25">
      <c r="A472" s="6"/>
      <c r="B472" s="288"/>
      <c r="C472" s="279"/>
      <c r="D472" s="296"/>
      <c r="E472" s="312"/>
      <c r="F472" s="285"/>
      <c r="G472" s="283"/>
      <c r="H472" s="279"/>
      <c r="I472" s="27" t="s">
        <v>943</v>
      </c>
      <c r="J472" s="5" t="s">
        <v>65</v>
      </c>
      <c r="K472" s="3" t="s">
        <v>944</v>
      </c>
      <c r="L472" s="27" t="str">
        <f>VLOOKUP(K472,[1]CódigosRetorno!$A$2:$B$1996,2,FALSE)</f>
        <v>La Numeracion de la DAM o DS no se encuentra consignado como documento relacionado</v>
      </c>
      <c r="M472" s="5" t="s">
        <v>67</v>
      </c>
      <c r="N472" s="27"/>
      <c r="O472" s="6"/>
    </row>
    <row r="473" spans="1:15" ht="36" x14ac:dyDescent="0.25">
      <c r="A473" s="6"/>
      <c r="B473" s="288"/>
      <c r="C473" s="279"/>
      <c r="D473" s="296"/>
      <c r="E473" s="312"/>
      <c r="F473" s="285" t="s">
        <v>28</v>
      </c>
      <c r="G473" s="283" t="s">
        <v>831</v>
      </c>
      <c r="H473" s="279" t="s">
        <v>945</v>
      </c>
      <c r="I473" s="27" t="s">
        <v>946</v>
      </c>
      <c r="J473" s="5" t="s">
        <v>65</v>
      </c>
      <c r="K473" s="3" t="s">
        <v>947</v>
      </c>
      <c r="L473" s="27" t="str">
        <f>VLOOKUP(K473,[1]CódigosRetorno!$A$2:$B$1996,2,FALSE)</f>
        <v>El Numero de la serie en la DAM o DS no cumple con el formato establecido</v>
      </c>
      <c r="M473" s="5" t="s">
        <v>67</v>
      </c>
      <c r="N473" s="27"/>
      <c r="O473" s="6"/>
    </row>
    <row r="474" spans="1:15" ht="48" x14ac:dyDescent="0.25">
      <c r="A474" s="6"/>
      <c r="B474" s="288"/>
      <c r="C474" s="274"/>
      <c r="D474" s="297"/>
      <c r="E474" s="314"/>
      <c r="F474" s="272"/>
      <c r="G474" s="286"/>
      <c r="H474" s="274"/>
      <c r="I474" s="27" t="s">
        <v>948</v>
      </c>
      <c r="J474" s="5" t="s">
        <v>65</v>
      </c>
      <c r="K474" s="3" t="s">
        <v>949</v>
      </c>
      <c r="L474" s="27" t="str">
        <f>VLOOKUP(K474,[1]CódigosRetorno!$A$2:$B$1996,2,FALSE)</f>
        <v>El Numero de la serie en la DAM o DS no coincide con algun numero de serie de la DAM o DS consignada</v>
      </c>
      <c r="M474" s="5" t="s">
        <v>85</v>
      </c>
      <c r="N474" s="5" t="s">
        <v>238</v>
      </c>
      <c r="O474" s="6"/>
    </row>
    <row r="475" spans="1:15" x14ac:dyDescent="0.25">
      <c r="A475" s="6"/>
      <c r="B475" s="38" t="s">
        <v>950</v>
      </c>
      <c r="C475" s="39"/>
      <c r="D475" s="23"/>
      <c r="E475" s="23"/>
      <c r="F475" s="23"/>
      <c r="G475" s="24"/>
      <c r="H475" s="25"/>
      <c r="I475" s="23"/>
      <c r="J475" s="23"/>
      <c r="K475" s="23"/>
      <c r="L475" s="23"/>
      <c r="M475" s="23"/>
      <c r="N475" s="26"/>
    </row>
    <row r="476" spans="1:15" x14ac:dyDescent="0.25">
      <c r="A476" s="6"/>
      <c r="B476" s="266">
        <v>84</v>
      </c>
      <c r="C476" s="317" t="s">
        <v>951</v>
      </c>
      <c r="D476" s="294" t="s">
        <v>61</v>
      </c>
      <c r="E476" s="294" t="s">
        <v>5</v>
      </c>
      <c r="F476" s="294" t="s">
        <v>952</v>
      </c>
      <c r="G476" s="30"/>
      <c r="H476" s="44"/>
      <c r="I476" s="65" t="s">
        <v>953</v>
      </c>
      <c r="J476" s="5" t="s">
        <v>65</v>
      </c>
      <c r="K476" s="36" t="s">
        <v>954</v>
      </c>
      <c r="L476" s="27" t="str">
        <f>VLOOKUP(K476,[1]CódigosRetorno!$A$2:$B$1996,2,FALSE)</f>
        <v>El XML no contiene firma digital.</v>
      </c>
      <c r="M476" s="5"/>
      <c r="N476" s="268" t="s">
        <v>955</v>
      </c>
    </row>
    <row r="477" spans="1:15" x14ac:dyDescent="0.25">
      <c r="A477" s="6"/>
      <c r="B477" s="266"/>
      <c r="C477" s="317"/>
      <c r="D477" s="294"/>
      <c r="E477" s="294"/>
      <c r="F477" s="294"/>
      <c r="G477" s="30"/>
      <c r="H477" s="44"/>
      <c r="I477" s="65" t="s">
        <v>956</v>
      </c>
      <c r="J477" s="5" t="s">
        <v>65</v>
      </c>
      <c r="K477" s="36" t="s">
        <v>957</v>
      </c>
      <c r="L477" s="27" t="str">
        <f>VLOOKUP(K477,[1]CódigosRetorno!$A$2:$B$1996,2,FALSE)</f>
        <v>Ocurrió un error en el proceso de validación de la firma digital</v>
      </c>
      <c r="M477" s="5"/>
      <c r="N477" s="268"/>
    </row>
    <row r="478" spans="1:15" x14ac:dyDescent="0.25">
      <c r="A478" s="6"/>
    </row>
    <row r="479" spans="1:15" x14ac:dyDescent="0.25">
      <c r="A479" s="6"/>
    </row>
    <row r="480" spans="1:15" x14ac:dyDescent="0.25">
      <c r="A480" s="6"/>
    </row>
    <row r="481" spans="1:14" x14ac:dyDescent="0.25">
      <c r="A481" s="6"/>
    </row>
    <row r="482" spans="1:14" x14ac:dyDescent="0.25">
      <c r="A482" s="6"/>
    </row>
    <row r="483" spans="1:14" x14ac:dyDescent="0.25">
      <c r="A483" s="6"/>
    </row>
    <row r="484" spans="1:14" x14ac:dyDescent="0.25">
      <c r="A484" s="6"/>
    </row>
    <row r="485" spans="1:14" x14ac:dyDescent="0.25">
      <c r="A485" s="6"/>
    </row>
    <row r="486" spans="1:14" x14ac:dyDescent="0.25">
      <c r="A486" s="6"/>
    </row>
    <row r="487" spans="1:14" x14ac:dyDescent="0.25">
      <c r="A487" s="6"/>
    </row>
    <row r="488" spans="1:14" x14ac:dyDescent="0.25">
      <c r="A488" s="6"/>
    </row>
    <row r="489" spans="1:14" x14ac:dyDescent="0.25">
      <c r="A489" s="6"/>
    </row>
    <row r="490" spans="1:14" x14ac:dyDescent="0.25">
      <c r="A490" s="6"/>
    </row>
    <row r="491" spans="1:14" x14ac:dyDescent="0.25">
      <c r="A491" s="6"/>
    </row>
    <row r="492" spans="1:14" x14ac:dyDescent="0.25">
      <c r="A492" s="6"/>
      <c r="B492" s="8"/>
      <c r="G492" s="8"/>
      <c r="H492" s="8"/>
      <c r="M492" s="8"/>
      <c r="N492" s="8"/>
    </row>
    <row r="493" spans="1:14" x14ac:dyDescent="0.25">
      <c r="A493" s="6"/>
      <c r="B493" s="8"/>
      <c r="G493" s="8"/>
      <c r="H493" s="8"/>
      <c r="M493" s="8"/>
      <c r="N493" s="8"/>
    </row>
    <row r="494" spans="1:14" x14ac:dyDescent="0.25">
      <c r="A494" s="6"/>
      <c r="B494" s="8"/>
      <c r="G494" s="8"/>
      <c r="H494" s="8"/>
      <c r="M494" s="8"/>
      <c r="N494" s="8"/>
    </row>
    <row r="495" spans="1:14" x14ac:dyDescent="0.25">
      <c r="A495" s="6"/>
      <c r="B495" s="8"/>
      <c r="G495" s="8"/>
      <c r="H495" s="8"/>
      <c r="M495" s="8"/>
      <c r="N495" s="8"/>
    </row>
    <row r="496" spans="1:14" x14ac:dyDescent="0.25">
      <c r="A496" s="6"/>
      <c r="B496" s="8"/>
      <c r="G496" s="8"/>
      <c r="H496" s="8"/>
      <c r="M496" s="8"/>
      <c r="N496" s="8"/>
    </row>
    <row r="497" spans="1:14" x14ac:dyDescent="0.25">
      <c r="A497" s="6"/>
      <c r="B497" s="8"/>
      <c r="G497" s="8"/>
      <c r="H497" s="8"/>
      <c r="M497" s="8"/>
      <c r="N497" s="8"/>
    </row>
    <row r="498" spans="1:14" x14ac:dyDescent="0.25">
      <c r="A498" s="6"/>
      <c r="B498" s="8"/>
      <c r="G498" s="8"/>
      <c r="H498" s="8"/>
      <c r="M498" s="8"/>
      <c r="N498" s="8"/>
    </row>
    <row r="499" spans="1:14" x14ac:dyDescent="0.25">
      <c r="A499" s="6"/>
      <c r="B499" s="8"/>
      <c r="G499" s="8"/>
      <c r="H499" s="8"/>
      <c r="M499" s="8"/>
      <c r="N499" s="8"/>
    </row>
    <row r="500" spans="1:14" x14ac:dyDescent="0.25">
      <c r="A500" s="6"/>
      <c r="B500" s="8"/>
      <c r="G500" s="8"/>
      <c r="H500" s="8"/>
      <c r="M500" s="8"/>
      <c r="N500" s="8"/>
    </row>
    <row r="501" spans="1:14" x14ac:dyDescent="0.25">
      <c r="A501" s="6"/>
      <c r="B501" s="8"/>
      <c r="G501" s="8"/>
      <c r="H501" s="8"/>
      <c r="M501" s="8"/>
      <c r="N501" s="8"/>
    </row>
    <row r="502" spans="1:14" x14ac:dyDescent="0.25">
      <c r="A502" s="6"/>
      <c r="B502" s="8"/>
      <c r="G502" s="8"/>
      <c r="H502" s="8"/>
      <c r="M502" s="8"/>
      <c r="N502" s="8"/>
    </row>
    <row r="503" spans="1:14" x14ac:dyDescent="0.25">
      <c r="A503" s="6"/>
      <c r="B503" s="8"/>
      <c r="G503" s="8"/>
      <c r="H503" s="8"/>
      <c r="M503" s="8"/>
      <c r="N503" s="8"/>
    </row>
    <row r="504" spans="1:14" x14ac:dyDescent="0.25">
      <c r="A504" s="6"/>
      <c r="B504" s="8"/>
      <c r="G504" s="8"/>
      <c r="H504" s="8"/>
      <c r="M504" s="8"/>
      <c r="N504" s="8"/>
    </row>
    <row r="505" spans="1:14" x14ac:dyDescent="0.25">
      <c r="A505" s="6"/>
      <c r="B505" s="8"/>
      <c r="G505" s="8"/>
      <c r="H505" s="8"/>
      <c r="M505" s="8"/>
      <c r="N505" s="8"/>
    </row>
    <row r="506" spans="1:14" x14ac:dyDescent="0.25">
      <c r="A506" s="6"/>
      <c r="B506" s="8"/>
      <c r="G506" s="8"/>
      <c r="H506" s="8"/>
      <c r="M506" s="8"/>
      <c r="N506" s="8"/>
    </row>
    <row r="507" spans="1:14" x14ac:dyDescent="0.25">
      <c r="A507" s="6"/>
      <c r="B507" s="8"/>
      <c r="G507" s="8"/>
      <c r="H507" s="8"/>
      <c r="M507" s="8"/>
      <c r="N507" s="8"/>
    </row>
    <row r="508" spans="1:14" x14ac:dyDescent="0.25">
      <c r="A508" s="6"/>
      <c r="B508" s="8"/>
      <c r="G508" s="8"/>
      <c r="H508" s="8"/>
      <c r="M508" s="8"/>
      <c r="N508" s="8"/>
    </row>
    <row r="509" spans="1:14" x14ac:dyDescent="0.25">
      <c r="A509" s="6"/>
      <c r="B509" s="8"/>
      <c r="G509" s="8"/>
      <c r="H509" s="8"/>
      <c r="M509" s="8"/>
      <c r="N509" s="8"/>
    </row>
    <row r="510" spans="1:14" x14ac:dyDescent="0.25">
      <c r="A510" s="6"/>
      <c r="B510" s="8"/>
      <c r="G510" s="8"/>
      <c r="H510" s="8"/>
      <c r="M510" s="8"/>
      <c r="N510" s="8"/>
    </row>
    <row r="511" spans="1:14" x14ac:dyDescent="0.25">
      <c r="A511" s="6"/>
      <c r="B511" s="8"/>
      <c r="G511" s="8"/>
      <c r="H511" s="8"/>
      <c r="M511" s="8"/>
      <c r="N511" s="8"/>
    </row>
    <row r="512" spans="1:14" x14ac:dyDescent="0.25">
      <c r="A512" s="6"/>
      <c r="B512" s="8"/>
      <c r="G512" s="8"/>
      <c r="H512" s="8"/>
      <c r="M512" s="8"/>
      <c r="N512" s="8"/>
    </row>
    <row r="513" spans="1:14" x14ac:dyDescent="0.25">
      <c r="A513" s="6"/>
      <c r="B513" s="8"/>
      <c r="G513" s="8"/>
      <c r="H513" s="8"/>
      <c r="M513" s="8"/>
      <c r="N513" s="8"/>
    </row>
    <row r="514" spans="1:14" x14ac:dyDescent="0.25">
      <c r="A514" s="6"/>
      <c r="B514" s="8"/>
      <c r="G514" s="8"/>
      <c r="H514" s="8"/>
      <c r="M514" s="8"/>
      <c r="N514" s="8"/>
    </row>
    <row r="515" spans="1:14" x14ac:dyDescent="0.25">
      <c r="A515" s="6"/>
      <c r="B515" s="8"/>
      <c r="G515" s="8"/>
      <c r="H515" s="8"/>
      <c r="M515" s="8"/>
      <c r="N515" s="8"/>
    </row>
    <row r="516" spans="1:14" x14ac:dyDescent="0.25">
      <c r="A516" s="6"/>
      <c r="B516" s="8"/>
      <c r="G516" s="8"/>
      <c r="H516" s="8"/>
      <c r="M516" s="8"/>
      <c r="N516" s="8"/>
    </row>
    <row r="517" spans="1:14" x14ac:dyDescent="0.25">
      <c r="A517" s="6"/>
      <c r="B517" s="8"/>
      <c r="G517" s="8"/>
      <c r="H517" s="8"/>
      <c r="M517" s="8"/>
      <c r="N517" s="8"/>
    </row>
    <row r="518" spans="1:14" x14ac:dyDescent="0.25">
      <c r="A518" s="6"/>
      <c r="B518" s="8"/>
      <c r="G518" s="8"/>
      <c r="H518" s="8"/>
      <c r="M518" s="8"/>
      <c r="N518" s="8"/>
    </row>
    <row r="519" spans="1:14" x14ac:dyDescent="0.25">
      <c r="A519" s="6"/>
      <c r="B519" s="8"/>
      <c r="G519" s="8"/>
      <c r="H519" s="8"/>
      <c r="M519" s="8"/>
      <c r="N519" s="8"/>
    </row>
    <row r="520" spans="1:14" x14ac:dyDescent="0.25">
      <c r="A520" s="6"/>
      <c r="B520" s="8"/>
      <c r="G520" s="8"/>
      <c r="H520" s="8"/>
      <c r="M520" s="8"/>
      <c r="N520" s="8"/>
    </row>
    <row r="521" spans="1:14" x14ac:dyDescent="0.25">
      <c r="A521" s="6"/>
      <c r="B521" s="8"/>
      <c r="G521" s="8"/>
      <c r="H521" s="8"/>
      <c r="M521" s="8"/>
      <c r="N521" s="8"/>
    </row>
    <row r="522" spans="1:14" x14ac:dyDescent="0.25">
      <c r="A522" s="6"/>
      <c r="B522" s="8"/>
      <c r="G522" s="8"/>
      <c r="H522" s="8"/>
      <c r="M522" s="8"/>
      <c r="N522" s="8"/>
    </row>
    <row r="523" spans="1:14" x14ac:dyDescent="0.25">
      <c r="A523" s="6"/>
      <c r="B523" s="8"/>
      <c r="G523" s="8"/>
      <c r="H523" s="8"/>
      <c r="M523" s="8"/>
      <c r="N523" s="8"/>
    </row>
    <row r="524" spans="1:14" x14ac:dyDescent="0.25">
      <c r="A524" s="6"/>
      <c r="B524" s="8"/>
      <c r="G524" s="8"/>
      <c r="H524" s="8"/>
      <c r="M524" s="8"/>
      <c r="N524" s="8"/>
    </row>
    <row r="525" spans="1:14" x14ac:dyDescent="0.25">
      <c r="A525" s="6"/>
      <c r="B525" s="8"/>
      <c r="G525" s="8"/>
      <c r="H525" s="8"/>
      <c r="M525" s="8"/>
      <c r="N525" s="8"/>
    </row>
    <row r="526" spans="1:14" x14ac:dyDescent="0.25">
      <c r="A526" s="6"/>
      <c r="B526" s="8"/>
      <c r="G526" s="8"/>
      <c r="H526" s="8"/>
      <c r="M526" s="8"/>
      <c r="N526" s="8"/>
    </row>
    <row r="527" spans="1:14" x14ac:dyDescent="0.25">
      <c r="A527" s="6"/>
      <c r="B527" s="8"/>
      <c r="G527" s="8"/>
      <c r="H527" s="8"/>
      <c r="M527" s="8"/>
      <c r="N527" s="8"/>
    </row>
    <row r="528" spans="1:14" x14ac:dyDescent="0.25">
      <c r="A528" s="6"/>
      <c r="B528" s="8"/>
      <c r="G528" s="8"/>
      <c r="H528" s="8"/>
      <c r="M528" s="8"/>
      <c r="N528" s="8"/>
    </row>
    <row r="529" spans="1:14" x14ac:dyDescent="0.25">
      <c r="A529" s="6"/>
      <c r="B529" s="8"/>
      <c r="G529" s="8"/>
      <c r="H529" s="8"/>
      <c r="M529" s="8"/>
      <c r="N529" s="8"/>
    </row>
    <row r="530" spans="1:14" x14ac:dyDescent="0.25">
      <c r="A530" s="6"/>
      <c r="B530" s="8"/>
      <c r="G530" s="8"/>
      <c r="H530" s="8"/>
      <c r="M530" s="8"/>
      <c r="N530" s="8"/>
    </row>
    <row r="531" spans="1:14" x14ac:dyDescent="0.25">
      <c r="A531" s="6"/>
      <c r="B531" s="8"/>
      <c r="G531" s="8"/>
      <c r="H531" s="8"/>
      <c r="M531" s="8"/>
      <c r="N531" s="8"/>
    </row>
    <row r="532" spans="1:14" x14ac:dyDescent="0.25">
      <c r="A532" s="6"/>
      <c r="B532" s="8"/>
      <c r="G532" s="8"/>
      <c r="H532" s="8"/>
      <c r="M532" s="8"/>
      <c r="N532" s="8"/>
    </row>
    <row r="533" spans="1:14" x14ac:dyDescent="0.25">
      <c r="A533" s="6"/>
      <c r="B533" s="8"/>
      <c r="G533" s="8"/>
      <c r="H533" s="8"/>
      <c r="M533" s="8"/>
      <c r="N533" s="8"/>
    </row>
    <row r="534" spans="1:14" x14ac:dyDescent="0.25">
      <c r="A534" s="6"/>
      <c r="B534" s="8"/>
      <c r="G534" s="8"/>
      <c r="H534" s="8"/>
      <c r="M534" s="8"/>
      <c r="N534" s="8"/>
    </row>
    <row r="535" spans="1:14" x14ac:dyDescent="0.25">
      <c r="A535" s="6"/>
      <c r="B535" s="8"/>
      <c r="G535" s="8"/>
      <c r="H535" s="8"/>
      <c r="M535" s="8"/>
      <c r="N535" s="8"/>
    </row>
    <row r="536" spans="1:14" x14ac:dyDescent="0.25">
      <c r="A536" s="6"/>
      <c r="B536" s="8"/>
      <c r="G536" s="8"/>
      <c r="H536" s="8"/>
      <c r="M536" s="8"/>
      <c r="N536" s="8"/>
    </row>
    <row r="537" spans="1:14" x14ac:dyDescent="0.25">
      <c r="A537" s="6"/>
      <c r="B537" s="8"/>
      <c r="G537" s="8"/>
      <c r="H537" s="8"/>
      <c r="M537" s="8"/>
      <c r="N537" s="8"/>
    </row>
    <row r="538" spans="1:14" x14ac:dyDescent="0.25">
      <c r="A538" s="6"/>
      <c r="B538" s="8"/>
      <c r="G538" s="8"/>
      <c r="H538" s="8"/>
      <c r="M538" s="8"/>
      <c r="N538" s="8"/>
    </row>
    <row r="539" spans="1:14" x14ac:dyDescent="0.25">
      <c r="A539" s="6"/>
      <c r="B539" s="8"/>
      <c r="G539" s="8"/>
      <c r="H539" s="8"/>
      <c r="M539" s="8"/>
      <c r="N539" s="8"/>
    </row>
    <row r="540" spans="1:14" x14ac:dyDescent="0.25">
      <c r="A540" s="6"/>
      <c r="B540" s="8"/>
      <c r="G540" s="8"/>
      <c r="H540" s="8"/>
      <c r="M540" s="8"/>
      <c r="N540" s="8"/>
    </row>
    <row r="541" spans="1:14" x14ac:dyDescent="0.25">
      <c r="A541" s="6"/>
      <c r="B541" s="8"/>
      <c r="G541" s="8"/>
      <c r="H541" s="8"/>
      <c r="M541" s="8"/>
      <c r="N541" s="8"/>
    </row>
    <row r="542" spans="1:14" x14ac:dyDescent="0.25">
      <c r="A542" s="6"/>
      <c r="B542" s="8"/>
      <c r="G542" s="8"/>
      <c r="H542" s="8"/>
      <c r="M542" s="8"/>
      <c r="N542" s="8"/>
    </row>
    <row r="543" spans="1:14" x14ac:dyDescent="0.25">
      <c r="A543" s="6"/>
      <c r="B543" s="8"/>
      <c r="G543" s="8"/>
      <c r="H543" s="8"/>
      <c r="M543" s="8"/>
      <c r="N543" s="8"/>
    </row>
    <row r="544" spans="1:14" x14ac:dyDescent="0.25">
      <c r="A544" s="6"/>
      <c r="B544" s="8"/>
      <c r="G544" s="8"/>
      <c r="H544" s="8"/>
      <c r="M544" s="8"/>
      <c r="N544" s="8"/>
    </row>
    <row r="545" spans="1:14" x14ac:dyDescent="0.25">
      <c r="A545" s="6"/>
      <c r="B545" s="8"/>
      <c r="G545" s="8"/>
      <c r="H545" s="8"/>
      <c r="M545" s="8"/>
      <c r="N545" s="8"/>
    </row>
    <row r="546" spans="1:14" x14ac:dyDescent="0.25">
      <c r="A546" s="6"/>
      <c r="B546" s="8"/>
      <c r="G546" s="8"/>
      <c r="H546" s="8"/>
      <c r="M546" s="8"/>
      <c r="N546" s="8"/>
    </row>
    <row r="547" spans="1:14" x14ac:dyDescent="0.25">
      <c r="A547" s="6"/>
      <c r="B547" s="8"/>
      <c r="G547" s="8"/>
      <c r="H547" s="8"/>
      <c r="M547" s="8"/>
      <c r="N547" s="8"/>
    </row>
    <row r="548" spans="1:14" x14ac:dyDescent="0.25">
      <c r="A548" s="6"/>
      <c r="B548" s="8"/>
      <c r="G548" s="8"/>
      <c r="H548" s="8"/>
      <c r="M548" s="8"/>
      <c r="N548" s="8"/>
    </row>
    <row r="549" spans="1:14" x14ac:dyDescent="0.25">
      <c r="A549" s="6"/>
      <c r="B549" s="8"/>
      <c r="G549" s="8"/>
      <c r="H549" s="8"/>
      <c r="M549" s="8"/>
      <c r="N549" s="8"/>
    </row>
    <row r="550" spans="1:14" x14ac:dyDescent="0.25">
      <c r="A550" s="6"/>
      <c r="B550" s="8"/>
      <c r="G550" s="8"/>
      <c r="H550" s="8"/>
      <c r="M550" s="8"/>
      <c r="N550" s="8"/>
    </row>
    <row r="551" spans="1:14" x14ac:dyDescent="0.25">
      <c r="A551" s="6"/>
      <c r="B551" s="8"/>
      <c r="G551" s="8"/>
      <c r="H551" s="8"/>
      <c r="M551" s="8"/>
      <c r="N551" s="8"/>
    </row>
    <row r="552" spans="1:14" x14ac:dyDescent="0.25">
      <c r="A552" s="6"/>
      <c r="B552" s="8"/>
      <c r="G552" s="8"/>
      <c r="H552" s="8"/>
      <c r="M552" s="8"/>
      <c r="N552" s="8"/>
    </row>
    <row r="553" spans="1:14" x14ac:dyDescent="0.25">
      <c r="A553" s="6"/>
      <c r="B553" s="8"/>
      <c r="G553" s="8"/>
      <c r="H553" s="8"/>
      <c r="M553" s="8"/>
      <c r="N553" s="8"/>
    </row>
    <row r="554" spans="1:14" x14ac:dyDescent="0.25">
      <c r="A554" s="6"/>
      <c r="B554" s="8"/>
      <c r="G554" s="8"/>
      <c r="H554" s="8"/>
      <c r="M554" s="8"/>
      <c r="N554" s="8"/>
    </row>
    <row r="555" spans="1:14" x14ac:dyDescent="0.25">
      <c r="A555" s="6"/>
      <c r="B555" s="8"/>
      <c r="G555" s="8"/>
      <c r="H555" s="8"/>
      <c r="M555" s="8"/>
      <c r="N555" s="8"/>
    </row>
    <row r="556" spans="1:14" x14ac:dyDescent="0.25">
      <c r="A556" s="6"/>
      <c r="B556" s="8"/>
      <c r="G556" s="8"/>
      <c r="H556" s="8"/>
      <c r="M556" s="8"/>
      <c r="N556" s="8"/>
    </row>
    <row r="557" spans="1:14" x14ac:dyDescent="0.25">
      <c r="A557" s="6"/>
      <c r="B557" s="8"/>
      <c r="G557" s="8"/>
      <c r="H557" s="8"/>
      <c r="M557" s="8"/>
      <c r="N557" s="8"/>
    </row>
    <row r="558" spans="1:14" x14ac:dyDescent="0.25">
      <c r="A558" s="6"/>
      <c r="B558" s="8"/>
      <c r="G558" s="8"/>
      <c r="H558" s="8"/>
      <c r="M558" s="8"/>
      <c r="N558" s="8"/>
    </row>
    <row r="559" spans="1:14" x14ac:dyDescent="0.25">
      <c r="A559" s="6"/>
      <c r="B559" s="8"/>
      <c r="G559" s="8"/>
      <c r="H559" s="8"/>
      <c r="M559" s="8"/>
      <c r="N559" s="8"/>
    </row>
    <row r="560" spans="1:14" x14ac:dyDescent="0.25">
      <c r="A560" s="6"/>
      <c r="B560" s="8"/>
      <c r="G560" s="8"/>
      <c r="H560" s="8"/>
      <c r="M560" s="8"/>
      <c r="N560" s="8"/>
    </row>
    <row r="561" spans="1:14" x14ac:dyDescent="0.25">
      <c r="A561" s="6"/>
      <c r="B561" s="8"/>
      <c r="G561" s="8"/>
      <c r="H561" s="8"/>
      <c r="M561" s="8"/>
      <c r="N561" s="8"/>
    </row>
    <row r="562" spans="1:14" x14ac:dyDescent="0.25">
      <c r="A562" s="6"/>
      <c r="B562" s="8"/>
      <c r="G562" s="8"/>
      <c r="H562" s="8"/>
      <c r="M562" s="8"/>
      <c r="N562" s="8"/>
    </row>
    <row r="563" spans="1:14" x14ac:dyDescent="0.25">
      <c r="A563" s="6"/>
      <c r="B563" s="8"/>
      <c r="G563" s="8"/>
      <c r="H563" s="8"/>
      <c r="M563" s="8"/>
      <c r="N563" s="8"/>
    </row>
    <row r="564" spans="1:14" x14ac:dyDescent="0.25">
      <c r="A564" s="6"/>
      <c r="B564" s="8"/>
      <c r="G564" s="8"/>
      <c r="H564" s="8"/>
      <c r="M564" s="8"/>
      <c r="N564" s="8"/>
    </row>
    <row r="565" spans="1:14" x14ac:dyDescent="0.25">
      <c r="A565" s="6"/>
      <c r="B565" s="8"/>
      <c r="G565" s="8"/>
      <c r="H565" s="8"/>
      <c r="M565" s="8"/>
      <c r="N565" s="8"/>
    </row>
    <row r="566" spans="1:14" x14ac:dyDescent="0.25">
      <c r="A566" s="6"/>
      <c r="B566" s="8"/>
      <c r="G566" s="8"/>
      <c r="H566" s="8"/>
      <c r="M566" s="8"/>
      <c r="N566" s="8"/>
    </row>
    <row r="567" spans="1:14" x14ac:dyDescent="0.25">
      <c r="A567" s="6"/>
      <c r="B567" s="8"/>
      <c r="G567" s="8"/>
      <c r="H567" s="8"/>
      <c r="M567" s="8"/>
      <c r="N567" s="8"/>
    </row>
    <row r="568" spans="1:14" x14ac:dyDescent="0.25">
      <c r="A568" s="6"/>
      <c r="B568" s="8"/>
      <c r="G568" s="8"/>
      <c r="H568" s="8"/>
      <c r="M568" s="8"/>
      <c r="N568" s="8"/>
    </row>
    <row r="569" spans="1:14" x14ac:dyDescent="0.25">
      <c r="A569" s="6"/>
      <c r="B569" s="8"/>
      <c r="G569" s="8"/>
      <c r="H569" s="8"/>
      <c r="M569" s="8"/>
      <c r="N569" s="8"/>
    </row>
    <row r="570" spans="1:14" x14ac:dyDescent="0.25">
      <c r="A570" s="6"/>
      <c r="B570" s="8"/>
      <c r="G570" s="8"/>
      <c r="H570" s="8"/>
      <c r="M570" s="8"/>
      <c r="N570" s="8"/>
    </row>
    <row r="571" spans="1:14" x14ac:dyDescent="0.25">
      <c r="A571" s="6"/>
      <c r="B571" s="8"/>
      <c r="G571" s="8"/>
      <c r="H571" s="8"/>
      <c r="M571" s="8"/>
      <c r="N571" s="8"/>
    </row>
    <row r="572" spans="1:14" x14ac:dyDescent="0.25">
      <c r="A572" s="6"/>
      <c r="B572" s="8"/>
      <c r="G572" s="8"/>
      <c r="H572" s="8"/>
      <c r="M572" s="8"/>
      <c r="N572" s="8"/>
    </row>
    <row r="573" spans="1:14" x14ac:dyDescent="0.25">
      <c r="A573" s="6"/>
      <c r="B573" s="8"/>
      <c r="G573" s="8"/>
      <c r="H573" s="8"/>
      <c r="M573" s="8"/>
      <c r="N573" s="8"/>
    </row>
    <row r="574" spans="1:14" x14ac:dyDescent="0.25">
      <c r="A574" s="6"/>
      <c r="B574" s="8"/>
      <c r="G574" s="8"/>
      <c r="H574" s="8"/>
      <c r="M574" s="8"/>
      <c r="N574" s="8"/>
    </row>
    <row r="575" spans="1:14" x14ac:dyDescent="0.25">
      <c r="A575" s="6"/>
      <c r="B575" s="8"/>
      <c r="G575" s="8"/>
      <c r="H575" s="8"/>
      <c r="M575" s="8"/>
      <c r="N575" s="8"/>
    </row>
    <row r="576" spans="1:14" x14ac:dyDescent="0.25">
      <c r="A576" s="6"/>
      <c r="B576" s="8"/>
      <c r="G576" s="8"/>
      <c r="H576" s="8"/>
      <c r="M576" s="8"/>
      <c r="N576" s="8"/>
    </row>
    <row r="577" spans="1:14" x14ac:dyDescent="0.25">
      <c r="A577" s="6"/>
      <c r="B577" s="8"/>
      <c r="G577" s="8"/>
      <c r="H577" s="8"/>
      <c r="M577" s="8"/>
      <c r="N577" s="8"/>
    </row>
    <row r="578" spans="1:14" x14ac:dyDescent="0.25">
      <c r="A578" s="6"/>
      <c r="B578" s="8"/>
      <c r="G578" s="8"/>
      <c r="H578" s="8"/>
      <c r="M578" s="8"/>
      <c r="N578" s="8"/>
    </row>
    <row r="579" spans="1:14" x14ac:dyDescent="0.25">
      <c r="A579" s="6"/>
      <c r="B579" s="8"/>
      <c r="G579" s="8"/>
      <c r="H579" s="8"/>
      <c r="M579" s="8"/>
      <c r="N579" s="8"/>
    </row>
    <row r="580" spans="1:14" x14ac:dyDescent="0.25">
      <c r="A580" s="6"/>
      <c r="B580" s="8"/>
      <c r="G580" s="8"/>
      <c r="H580" s="8"/>
      <c r="M580" s="8"/>
      <c r="N580" s="8"/>
    </row>
    <row r="581" spans="1:14" x14ac:dyDescent="0.25">
      <c r="A581" s="6"/>
      <c r="B581" s="8"/>
      <c r="G581" s="8"/>
      <c r="H581" s="8"/>
      <c r="M581" s="8"/>
      <c r="N581" s="8"/>
    </row>
    <row r="582" spans="1:14" x14ac:dyDescent="0.25">
      <c r="A582" s="6"/>
      <c r="B582" s="8"/>
      <c r="G582" s="8"/>
      <c r="H582" s="8"/>
      <c r="M582" s="8"/>
      <c r="N582" s="8"/>
    </row>
  </sheetData>
  <mergeCells count="562">
    <mergeCell ref="N476:N477"/>
    <mergeCell ref="H471:H472"/>
    <mergeCell ref="F473:F474"/>
    <mergeCell ref="G473:G474"/>
    <mergeCell ref="H473:H474"/>
    <mergeCell ref="B476:B477"/>
    <mergeCell ref="C476:C477"/>
    <mergeCell ref="D476:D477"/>
    <mergeCell ref="E476:E477"/>
    <mergeCell ref="F476:F477"/>
    <mergeCell ref="H459:H461"/>
    <mergeCell ref="F462:F464"/>
    <mergeCell ref="F465:F470"/>
    <mergeCell ref="G465:G468"/>
    <mergeCell ref="H465:H468"/>
    <mergeCell ref="G469:G470"/>
    <mergeCell ref="H469:H470"/>
    <mergeCell ref="B458:B474"/>
    <mergeCell ref="C458:C474"/>
    <mergeCell ref="D458:D474"/>
    <mergeCell ref="E458:E474"/>
    <mergeCell ref="F459:F461"/>
    <mergeCell ref="G459:G461"/>
    <mergeCell ref="F471:F472"/>
    <mergeCell ref="G471:G472"/>
    <mergeCell ref="H449:H452"/>
    <mergeCell ref="F453:F455"/>
    <mergeCell ref="B456:B457"/>
    <mergeCell ref="C456:C457"/>
    <mergeCell ref="D456:D457"/>
    <mergeCell ref="E456:E457"/>
    <mergeCell ref="B449:B455"/>
    <mergeCell ref="C449:C455"/>
    <mergeCell ref="D449:D455"/>
    <mergeCell ref="E449:E455"/>
    <mergeCell ref="F449:F452"/>
    <mergeCell ref="G449:G452"/>
    <mergeCell ref="B446:B447"/>
    <mergeCell ref="C446:C447"/>
    <mergeCell ref="D446:D447"/>
    <mergeCell ref="E446:E447"/>
    <mergeCell ref="F446:F447"/>
    <mergeCell ref="G446:G447"/>
    <mergeCell ref="H446:H447"/>
    <mergeCell ref="B440:B445"/>
    <mergeCell ref="C440:C445"/>
    <mergeCell ref="D440:D445"/>
    <mergeCell ref="E440:E445"/>
    <mergeCell ref="F440:F443"/>
    <mergeCell ref="G440:G443"/>
    <mergeCell ref="B437:B439"/>
    <mergeCell ref="C437:C439"/>
    <mergeCell ref="D437:D439"/>
    <mergeCell ref="E437:E439"/>
    <mergeCell ref="F437:F439"/>
    <mergeCell ref="G437:G439"/>
    <mergeCell ref="H437:H439"/>
    <mergeCell ref="H440:H443"/>
    <mergeCell ref="F444:F445"/>
    <mergeCell ref="H425:H426"/>
    <mergeCell ref="F427:F429"/>
    <mergeCell ref="F430:F431"/>
    <mergeCell ref="G430:G431"/>
    <mergeCell ref="H430:H431"/>
    <mergeCell ref="B434:B436"/>
    <mergeCell ref="C434:C436"/>
    <mergeCell ref="D434:D436"/>
    <mergeCell ref="E434:E436"/>
    <mergeCell ref="F434:F436"/>
    <mergeCell ref="B425:B431"/>
    <mergeCell ref="C425:C431"/>
    <mergeCell ref="D425:D431"/>
    <mergeCell ref="E425:E431"/>
    <mergeCell ref="F425:F426"/>
    <mergeCell ref="G425:G426"/>
    <mergeCell ref="G434:G436"/>
    <mergeCell ref="H434:H435"/>
    <mergeCell ref="F418:F419"/>
    <mergeCell ref="G418:G419"/>
    <mergeCell ref="H418:H419"/>
    <mergeCell ref="F420:F422"/>
    <mergeCell ref="F423:F424"/>
    <mergeCell ref="G423:G424"/>
    <mergeCell ref="H423:H424"/>
    <mergeCell ref="B413:B416"/>
    <mergeCell ref="C413:C416"/>
    <mergeCell ref="D413:D416"/>
    <mergeCell ref="E413:E416"/>
    <mergeCell ref="B418:B424"/>
    <mergeCell ref="C418:C424"/>
    <mergeCell ref="D418:D424"/>
    <mergeCell ref="E418:E424"/>
    <mergeCell ref="H399:H403"/>
    <mergeCell ref="B404:B412"/>
    <mergeCell ref="C404:C412"/>
    <mergeCell ref="D404:D412"/>
    <mergeCell ref="E404:E412"/>
    <mergeCell ref="F404:F410"/>
    <mergeCell ref="G404:G410"/>
    <mergeCell ref="H404:H410"/>
    <mergeCell ref="B399:B403"/>
    <mergeCell ref="C399:C403"/>
    <mergeCell ref="D399:D403"/>
    <mergeCell ref="E399:E403"/>
    <mergeCell ref="F399:F403"/>
    <mergeCell ref="G399:G403"/>
    <mergeCell ref="H391:H394"/>
    <mergeCell ref="F395:F396"/>
    <mergeCell ref="B397:B398"/>
    <mergeCell ref="C397:C398"/>
    <mergeCell ref="D397:D398"/>
    <mergeCell ref="E397:E398"/>
    <mergeCell ref="F397:F398"/>
    <mergeCell ref="G397:G398"/>
    <mergeCell ref="H397:H398"/>
    <mergeCell ref="B391:B396"/>
    <mergeCell ref="C391:C396"/>
    <mergeCell ref="D391:D396"/>
    <mergeCell ref="E391:E396"/>
    <mergeCell ref="F391:F394"/>
    <mergeCell ref="G391:G394"/>
    <mergeCell ref="H378:H383"/>
    <mergeCell ref="F384:F385"/>
    <mergeCell ref="B386:B389"/>
    <mergeCell ref="C386:C389"/>
    <mergeCell ref="D386:D389"/>
    <mergeCell ref="E386:E389"/>
    <mergeCell ref="B378:B385"/>
    <mergeCell ref="C378:C385"/>
    <mergeCell ref="D378:D385"/>
    <mergeCell ref="E378:E385"/>
    <mergeCell ref="F378:F383"/>
    <mergeCell ref="G378:G383"/>
    <mergeCell ref="H370:H371"/>
    <mergeCell ref="B372:B377"/>
    <mergeCell ref="C372:C377"/>
    <mergeCell ref="D372:D377"/>
    <mergeCell ref="E372:E377"/>
    <mergeCell ref="F372:F377"/>
    <mergeCell ref="G372:G377"/>
    <mergeCell ref="H372:H377"/>
    <mergeCell ref="B370:B371"/>
    <mergeCell ref="C370:C371"/>
    <mergeCell ref="D370:D371"/>
    <mergeCell ref="E370:E371"/>
    <mergeCell ref="F370:F371"/>
    <mergeCell ref="G370:G371"/>
    <mergeCell ref="B356:B361"/>
    <mergeCell ref="C356:C361"/>
    <mergeCell ref="D356:D361"/>
    <mergeCell ref="E356:E361"/>
    <mergeCell ref="F356:F361"/>
    <mergeCell ref="G356:G361"/>
    <mergeCell ref="H356:H361"/>
    <mergeCell ref="B363:B369"/>
    <mergeCell ref="C363:C369"/>
    <mergeCell ref="D363:D369"/>
    <mergeCell ref="E363:E369"/>
    <mergeCell ref="F363:F367"/>
    <mergeCell ref="G363:G367"/>
    <mergeCell ref="H363:H367"/>
    <mergeCell ref="F368:F369"/>
    <mergeCell ref="F337:F345"/>
    <mergeCell ref="G337:G345"/>
    <mergeCell ref="H337:H345"/>
    <mergeCell ref="B346:B355"/>
    <mergeCell ref="C346:C355"/>
    <mergeCell ref="D346:D355"/>
    <mergeCell ref="E346:E355"/>
    <mergeCell ref="F346:F350"/>
    <mergeCell ref="B328:B345"/>
    <mergeCell ref="C328:C345"/>
    <mergeCell ref="D328:D345"/>
    <mergeCell ref="E328:E345"/>
    <mergeCell ref="F328:F333"/>
    <mergeCell ref="G328:G333"/>
    <mergeCell ref="G346:G350"/>
    <mergeCell ref="H346:H350"/>
    <mergeCell ref="F351:F355"/>
    <mergeCell ref="G351:G355"/>
    <mergeCell ref="H351:H355"/>
    <mergeCell ref="B320:B325"/>
    <mergeCell ref="C320:C325"/>
    <mergeCell ref="D320:D325"/>
    <mergeCell ref="E320:E325"/>
    <mergeCell ref="F320:F325"/>
    <mergeCell ref="G320:G325"/>
    <mergeCell ref="H320:H325"/>
    <mergeCell ref="H328:H333"/>
    <mergeCell ref="F334:F336"/>
    <mergeCell ref="B310:B319"/>
    <mergeCell ref="C310:C319"/>
    <mergeCell ref="D310:D319"/>
    <mergeCell ref="E310:E319"/>
    <mergeCell ref="F310:F314"/>
    <mergeCell ref="G310:G314"/>
    <mergeCell ref="H310:H314"/>
    <mergeCell ref="F315:F319"/>
    <mergeCell ref="G315:G319"/>
    <mergeCell ref="H315:H319"/>
    <mergeCell ref="G292:G294"/>
    <mergeCell ref="H292:H294"/>
    <mergeCell ref="B295:B309"/>
    <mergeCell ref="C295:C309"/>
    <mergeCell ref="D295:D309"/>
    <mergeCell ref="E295:E309"/>
    <mergeCell ref="F295:F299"/>
    <mergeCell ref="G295:G299"/>
    <mergeCell ref="H295:H299"/>
    <mergeCell ref="F300:F302"/>
    <mergeCell ref="F303:F309"/>
    <mergeCell ref="G303:G309"/>
    <mergeCell ref="H303:H309"/>
    <mergeCell ref="F289:F290"/>
    <mergeCell ref="B292:B294"/>
    <mergeCell ref="C292:C294"/>
    <mergeCell ref="D292:D294"/>
    <mergeCell ref="E292:E294"/>
    <mergeCell ref="F292:F294"/>
    <mergeCell ref="B282:B290"/>
    <mergeCell ref="C282:C290"/>
    <mergeCell ref="D282:D290"/>
    <mergeCell ref="E282:E290"/>
    <mergeCell ref="F282:F285"/>
    <mergeCell ref="B278:B281"/>
    <mergeCell ref="C278:C281"/>
    <mergeCell ref="D278:D281"/>
    <mergeCell ref="E278:E281"/>
    <mergeCell ref="F278:F281"/>
    <mergeCell ref="G278:G281"/>
    <mergeCell ref="H278:H281"/>
    <mergeCell ref="H282:H285"/>
    <mergeCell ref="F286:F288"/>
    <mergeCell ref="G286:G288"/>
    <mergeCell ref="H286:H288"/>
    <mergeCell ref="G282:G285"/>
    <mergeCell ref="H263:H266"/>
    <mergeCell ref="F267:F269"/>
    <mergeCell ref="G267:G269"/>
    <mergeCell ref="H267:H269"/>
    <mergeCell ref="F270:F271"/>
    <mergeCell ref="B273:B277"/>
    <mergeCell ref="C273:C277"/>
    <mergeCell ref="D273:D277"/>
    <mergeCell ref="E273:E277"/>
    <mergeCell ref="F273:F277"/>
    <mergeCell ref="B263:B271"/>
    <mergeCell ref="C263:C271"/>
    <mergeCell ref="D263:D271"/>
    <mergeCell ref="E263:E271"/>
    <mergeCell ref="F263:F266"/>
    <mergeCell ref="G263:G266"/>
    <mergeCell ref="G273:G277"/>
    <mergeCell ref="H273:H277"/>
    <mergeCell ref="G254:G258"/>
    <mergeCell ref="H254:H258"/>
    <mergeCell ref="B259:B262"/>
    <mergeCell ref="C259:C262"/>
    <mergeCell ref="D259:D262"/>
    <mergeCell ref="E259:E262"/>
    <mergeCell ref="F259:F262"/>
    <mergeCell ref="G259:G262"/>
    <mergeCell ref="H259:H262"/>
    <mergeCell ref="F251:F252"/>
    <mergeCell ref="B254:B258"/>
    <mergeCell ref="C254:C258"/>
    <mergeCell ref="D254:D258"/>
    <mergeCell ref="E254:E258"/>
    <mergeCell ref="F254:F258"/>
    <mergeCell ref="B246:B252"/>
    <mergeCell ref="C246:C252"/>
    <mergeCell ref="D246:D252"/>
    <mergeCell ref="E246:E252"/>
    <mergeCell ref="F246:F247"/>
    <mergeCell ref="B241:B245"/>
    <mergeCell ref="C241:C245"/>
    <mergeCell ref="D241:D245"/>
    <mergeCell ref="E241:E245"/>
    <mergeCell ref="F241:F245"/>
    <mergeCell ref="G241:G245"/>
    <mergeCell ref="H241:H245"/>
    <mergeCell ref="H246:H247"/>
    <mergeCell ref="F248:F250"/>
    <mergeCell ref="G248:G250"/>
    <mergeCell ref="H248:H250"/>
    <mergeCell ref="G246:G247"/>
    <mergeCell ref="H225:H227"/>
    <mergeCell ref="F228:F230"/>
    <mergeCell ref="F231:F237"/>
    <mergeCell ref="G231:G237"/>
    <mergeCell ref="H231:H237"/>
    <mergeCell ref="B238:B240"/>
    <mergeCell ref="C238:C240"/>
    <mergeCell ref="D238:D240"/>
    <mergeCell ref="E238:E240"/>
    <mergeCell ref="F238:F240"/>
    <mergeCell ref="B225:B237"/>
    <mergeCell ref="C225:C237"/>
    <mergeCell ref="D225:D237"/>
    <mergeCell ref="E225:E237"/>
    <mergeCell ref="F225:F227"/>
    <mergeCell ref="G225:G227"/>
    <mergeCell ref="G238:G240"/>
    <mergeCell ref="H238:H240"/>
    <mergeCell ref="H217:H219"/>
    <mergeCell ref="B220:B222"/>
    <mergeCell ref="C220:C222"/>
    <mergeCell ref="D220:D222"/>
    <mergeCell ref="E220:E222"/>
    <mergeCell ref="F220:F222"/>
    <mergeCell ref="G220:G222"/>
    <mergeCell ref="H220:H222"/>
    <mergeCell ref="B217:B219"/>
    <mergeCell ref="C217:C219"/>
    <mergeCell ref="D217:D219"/>
    <mergeCell ref="E217:E219"/>
    <mergeCell ref="F217:F219"/>
    <mergeCell ref="G217:G219"/>
    <mergeCell ref="H209:H211"/>
    <mergeCell ref="B212:B213"/>
    <mergeCell ref="C212:C213"/>
    <mergeCell ref="D212:D213"/>
    <mergeCell ref="E212:E213"/>
    <mergeCell ref="F212:F213"/>
    <mergeCell ref="G212:G213"/>
    <mergeCell ref="H212:H213"/>
    <mergeCell ref="B209:B211"/>
    <mergeCell ref="C209:C211"/>
    <mergeCell ref="D209:D211"/>
    <mergeCell ref="E209:E211"/>
    <mergeCell ref="F209:F211"/>
    <mergeCell ref="G209:G211"/>
    <mergeCell ref="H195:H196"/>
    <mergeCell ref="B200:B208"/>
    <mergeCell ref="C200:C208"/>
    <mergeCell ref="D200:D208"/>
    <mergeCell ref="E200:E208"/>
    <mergeCell ref="F200:F208"/>
    <mergeCell ref="G200:G208"/>
    <mergeCell ref="H200:H208"/>
    <mergeCell ref="B195:B199"/>
    <mergeCell ref="C195:C199"/>
    <mergeCell ref="D195:D199"/>
    <mergeCell ref="E195:E199"/>
    <mergeCell ref="F195:F199"/>
    <mergeCell ref="G195:G196"/>
    <mergeCell ref="H189:H191"/>
    <mergeCell ref="B193:B194"/>
    <mergeCell ref="C193:C194"/>
    <mergeCell ref="D193:D194"/>
    <mergeCell ref="E193:E194"/>
    <mergeCell ref="F193:F194"/>
    <mergeCell ref="G193:G194"/>
    <mergeCell ref="H193:H194"/>
    <mergeCell ref="B189:B191"/>
    <mergeCell ref="C189:C191"/>
    <mergeCell ref="D189:D191"/>
    <mergeCell ref="E189:E191"/>
    <mergeCell ref="F189:F191"/>
    <mergeCell ref="G189:G191"/>
    <mergeCell ref="H184:H185"/>
    <mergeCell ref="B186:B188"/>
    <mergeCell ref="C186:C188"/>
    <mergeCell ref="D186:D188"/>
    <mergeCell ref="E186:E188"/>
    <mergeCell ref="F186:F188"/>
    <mergeCell ref="G186:G188"/>
    <mergeCell ref="H186:H188"/>
    <mergeCell ref="H180:H181"/>
    <mergeCell ref="F182:F183"/>
    <mergeCell ref="G182:G183"/>
    <mergeCell ref="H182:H183"/>
    <mergeCell ref="B184:B185"/>
    <mergeCell ref="C184:C185"/>
    <mergeCell ref="D184:D185"/>
    <mergeCell ref="E184:E185"/>
    <mergeCell ref="F184:F185"/>
    <mergeCell ref="G184:G185"/>
    <mergeCell ref="B180:B183"/>
    <mergeCell ref="C180:C183"/>
    <mergeCell ref="D180:D183"/>
    <mergeCell ref="E180:E183"/>
    <mergeCell ref="F180:F181"/>
    <mergeCell ref="G180:G181"/>
    <mergeCell ref="H173:H175"/>
    <mergeCell ref="B177:B179"/>
    <mergeCell ref="C177:C179"/>
    <mergeCell ref="D177:D179"/>
    <mergeCell ref="E177:E179"/>
    <mergeCell ref="F177:F179"/>
    <mergeCell ref="G177:G179"/>
    <mergeCell ref="H177:H179"/>
    <mergeCell ref="B173:B176"/>
    <mergeCell ref="C173:C176"/>
    <mergeCell ref="D173:D176"/>
    <mergeCell ref="E173:E175"/>
    <mergeCell ref="F173:F175"/>
    <mergeCell ref="G173:G175"/>
    <mergeCell ref="H164:H165"/>
    <mergeCell ref="B169:B172"/>
    <mergeCell ref="C169:C172"/>
    <mergeCell ref="D169:D172"/>
    <mergeCell ref="E169:E172"/>
    <mergeCell ref="F169:F172"/>
    <mergeCell ref="G169:G172"/>
    <mergeCell ref="H169:H172"/>
    <mergeCell ref="B164:B168"/>
    <mergeCell ref="C164:C168"/>
    <mergeCell ref="D164:D168"/>
    <mergeCell ref="E164:E168"/>
    <mergeCell ref="F164:F168"/>
    <mergeCell ref="G164:G165"/>
    <mergeCell ref="H146:H158"/>
    <mergeCell ref="B159:B161"/>
    <mergeCell ref="C159:C161"/>
    <mergeCell ref="D159:D161"/>
    <mergeCell ref="E159:E161"/>
    <mergeCell ref="F159:F161"/>
    <mergeCell ref="G159:G161"/>
    <mergeCell ref="H159:H161"/>
    <mergeCell ref="H136:H138"/>
    <mergeCell ref="B140:B158"/>
    <mergeCell ref="C140:C158"/>
    <mergeCell ref="D140:D158"/>
    <mergeCell ref="E140:E158"/>
    <mergeCell ref="F140:F145"/>
    <mergeCell ref="G140:G142"/>
    <mergeCell ref="H140:H142"/>
    <mergeCell ref="F146:F158"/>
    <mergeCell ref="G146:G158"/>
    <mergeCell ref="B136:B138"/>
    <mergeCell ref="C136:C138"/>
    <mergeCell ref="D136:D138"/>
    <mergeCell ref="E136:E138"/>
    <mergeCell ref="F136:F138"/>
    <mergeCell ref="G136:G138"/>
    <mergeCell ref="C115:C135"/>
    <mergeCell ref="D115:D135"/>
    <mergeCell ref="E115:E135"/>
    <mergeCell ref="F115:F122"/>
    <mergeCell ref="G115:G119"/>
    <mergeCell ref="B112:B113"/>
    <mergeCell ref="C112:C113"/>
    <mergeCell ref="D112:D113"/>
    <mergeCell ref="E112:E113"/>
    <mergeCell ref="F112:F113"/>
    <mergeCell ref="G112:G113"/>
    <mergeCell ref="H112:H113"/>
    <mergeCell ref="H115:H119"/>
    <mergeCell ref="F123:F135"/>
    <mergeCell ref="G123:G135"/>
    <mergeCell ref="H123:H135"/>
    <mergeCell ref="H83:H89"/>
    <mergeCell ref="F91:F93"/>
    <mergeCell ref="B95:B111"/>
    <mergeCell ref="C95:C111"/>
    <mergeCell ref="D95:D111"/>
    <mergeCell ref="E95:E111"/>
    <mergeCell ref="F95:F100"/>
    <mergeCell ref="G95:G97"/>
    <mergeCell ref="H95:H97"/>
    <mergeCell ref="F101:F111"/>
    <mergeCell ref="B83:B93"/>
    <mergeCell ref="C83:C93"/>
    <mergeCell ref="D83:D93"/>
    <mergeCell ref="E83:E93"/>
    <mergeCell ref="F83:F89"/>
    <mergeCell ref="G83:G89"/>
    <mergeCell ref="G101:G111"/>
    <mergeCell ref="H101:H111"/>
    <mergeCell ref="B115:B135"/>
    <mergeCell ref="B45:B47"/>
    <mergeCell ref="C45:C47"/>
    <mergeCell ref="D45:D47"/>
    <mergeCell ref="E45:E47"/>
    <mergeCell ref="F45:F47"/>
    <mergeCell ref="G45:G47"/>
    <mergeCell ref="H45:H47"/>
    <mergeCell ref="H48:H53"/>
    <mergeCell ref="B57:B82"/>
    <mergeCell ref="C57:C82"/>
    <mergeCell ref="D57:D82"/>
    <mergeCell ref="E57:E82"/>
    <mergeCell ref="F57:F82"/>
    <mergeCell ref="G57:G82"/>
    <mergeCell ref="H57:H82"/>
    <mergeCell ref="B48:B56"/>
    <mergeCell ref="C48:C56"/>
    <mergeCell ref="D48:D56"/>
    <mergeCell ref="E48:E56"/>
    <mergeCell ref="F48:F56"/>
    <mergeCell ref="G48:G53"/>
    <mergeCell ref="B37:B43"/>
    <mergeCell ref="C37:C43"/>
    <mergeCell ref="D37:D43"/>
    <mergeCell ref="E37:E43"/>
    <mergeCell ref="F37:F38"/>
    <mergeCell ref="G37:G38"/>
    <mergeCell ref="H37:H38"/>
    <mergeCell ref="F39:F41"/>
    <mergeCell ref="G39:G41"/>
    <mergeCell ref="H39:H41"/>
    <mergeCell ref="F42:F43"/>
    <mergeCell ref="H26:H27"/>
    <mergeCell ref="F31:F34"/>
    <mergeCell ref="G31:G34"/>
    <mergeCell ref="H31:H34"/>
    <mergeCell ref="B35:B36"/>
    <mergeCell ref="C35:C36"/>
    <mergeCell ref="D35:D36"/>
    <mergeCell ref="E35:E36"/>
    <mergeCell ref="F35:F36"/>
    <mergeCell ref="G35:G36"/>
    <mergeCell ref="B26:B34"/>
    <mergeCell ref="C26:C34"/>
    <mergeCell ref="D26:D34"/>
    <mergeCell ref="E26:E34"/>
    <mergeCell ref="F26:F30"/>
    <mergeCell ref="G26:G27"/>
    <mergeCell ref="H35:H36"/>
    <mergeCell ref="H17:H18"/>
    <mergeCell ref="B19:B23"/>
    <mergeCell ref="C19:C23"/>
    <mergeCell ref="D19:D23"/>
    <mergeCell ref="E19:E23"/>
    <mergeCell ref="F19:F23"/>
    <mergeCell ref="G19:G20"/>
    <mergeCell ref="H19:H20"/>
    <mergeCell ref="B17:B18"/>
    <mergeCell ref="C17:C18"/>
    <mergeCell ref="D17:D18"/>
    <mergeCell ref="E17:E18"/>
    <mergeCell ref="F17:F18"/>
    <mergeCell ref="G17:G18"/>
    <mergeCell ref="H9:H13"/>
    <mergeCell ref="B14:B16"/>
    <mergeCell ref="C14:C16"/>
    <mergeCell ref="D14:D16"/>
    <mergeCell ref="E14:E16"/>
    <mergeCell ref="F14:F16"/>
    <mergeCell ref="G14:G16"/>
    <mergeCell ref="H14:H16"/>
    <mergeCell ref="B9:B13"/>
    <mergeCell ref="C9:C13"/>
    <mergeCell ref="D9:D13"/>
    <mergeCell ref="E9:E13"/>
    <mergeCell ref="F9:F13"/>
    <mergeCell ref="G9:G13"/>
    <mergeCell ref="H5:H6"/>
    <mergeCell ref="B7:B8"/>
    <mergeCell ref="C7:C8"/>
    <mergeCell ref="D7:D8"/>
    <mergeCell ref="E7:E8"/>
    <mergeCell ref="F7:F8"/>
    <mergeCell ref="G7:G8"/>
    <mergeCell ref="H7:H8"/>
    <mergeCell ref="B5:B6"/>
    <mergeCell ref="C5:C6"/>
    <mergeCell ref="D5:D6"/>
    <mergeCell ref="E5:E6"/>
    <mergeCell ref="F5:F6"/>
    <mergeCell ref="G5:G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35"/>
  <sheetViews>
    <sheetView tabSelected="1" topLeftCell="A69" zoomScale="80" zoomScaleNormal="80" workbookViewId="0">
      <selection activeCell="B67" sqref="B67"/>
    </sheetView>
  </sheetViews>
  <sheetFormatPr defaultRowHeight="15" x14ac:dyDescent="0.25"/>
  <cols>
    <col min="1" max="1" width="4.7109375" customWidth="1"/>
    <col min="2" max="2" width="13" customWidth="1"/>
    <col min="3" max="3" width="37.85546875" customWidth="1"/>
    <col min="4" max="4" width="54.7109375" customWidth="1"/>
    <col min="5" max="5" width="15.7109375" customWidth="1"/>
    <col min="6" max="6" width="13.5703125" customWidth="1"/>
    <col min="7" max="7" width="21.7109375" customWidth="1"/>
    <col min="8" max="9" width="49.5703125" customWidth="1"/>
  </cols>
  <sheetData>
    <row r="2" spans="2:9" ht="18.75" x14ac:dyDescent="0.25">
      <c r="B2" s="1" t="s">
        <v>1948</v>
      </c>
      <c r="C2" s="1"/>
    </row>
    <row r="3" spans="2:9" ht="21" x14ac:dyDescent="0.35">
      <c r="B3" s="227" t="s">
        <v>2057</v>
      </c>
      <c r="C3" s="227"/>
      <c r="D3" s="232"/>
    </row>
    <row r="4" spans="2:9" ht="21" x14ac:dyDescent="0.35">
      <c r="B4" s="227" t="s">
        <v>2055</v>
      </c>
      <c r="C4" s="228"/>
      <c r="D4" s="229"/>
    </row>
    <row r="5" spans="2:9" ht="24" x14ac:dyDescent="0.25">
      <c r="B5" s="217" t="s">
        <v>3</v>
      </c>
      <c r="C5" s="217" t="s">
        <v>4</v>
      </c>
      <c r="D5" s="217" t="s">
        <v>1</v>
      </c>
      <c r="E5" s="217" t="s">
        <v>49</v>
      </c>
      <c r="F5" s="217" t="s">
        <v>50</v>
      </c>
      <c r="G5" s="217" t="s">
        <v>2</v>
      </c>
      <c r="H5" s="217" t="s">
        <v>51</v>
      </c>
      <c r="I5" s="217"/>
    </row>
    <row r="6" spans="2:9" x14ac:dyDescent="0.25">
      <c r="B6" s="324" t="s">
        <v>2058</v>
      </c>
      <c r="C6" s="325"/>
      <c r="D6" s="325"/>
      <c r="E6" s="325"/>
      <c r="F6" s="325"/>
      <c r="G6" s="325"/>
      <c r="H6" s="325"/>
      <c r="I6" s="325"/>
    </row>
    <row r="7" spans="2:9" x14ac:dyDescent="0.25">
      <c r="B7" s="326" t="s">
        <v>2052</v>
      </c>
      <c r="C7" s="327"/>
      <c r="D7" s="327"/>
      <c r="E7" s="230"/>
      <c r="F7" s="331"/>
      <c r="G7" s="332"/>
      <c r="H7" s="231"/>
      <c r="I7" s="231"/>
    </row>
    <row r="8" spans="2:9" x14ac:dyDescent="0.25">
      <c r="B8" s="224">
        <v>1</v>
      </c>
      <c r="C8" s="225"/>
      <c r="D8" s="223" t="s">
        <v>2054</v>
      </c>
      <c r="E8" s="226" t="s">
        <v>5</v>
      </c>
      <c r="F8" s="226" t="s">
        <v>19</v>
      </c>
      <c r="G8" s="224" t="s">
        <v>2053</v>
      </c>
      <c r="H8" s="223"/>
      <c r="I8" s="225"/>
    </row>
    <row r="9" spans="2:9" x14ac:dyDescent="0.25">
      <c r="B9" s="247">
        <v>2</v>
      </c>
      <c r="C9" s="218" t="s">
        <v>43</v>
      </c>
      <c r="D9" s="206" t="s">
        <v>46</v>
      </c>
      <c r="E9" s="203" t="s">
        <v>5</v>
      </c>
      <c r="F9" s="203" t="s">
        <v>74</v>
      </c>
      <c r="G9" s="203" t="s">
        <v>75</v>
      </c>
      <c r="H9" s="204" t="s">
        <v>76</v>
      </c>
      <c r="I9" s="205"/>
    </row>
    <row r="10" spans="2:9" x14ac:dyDescent="0.25">
      <c r="B10" s="247">
        <v>3</v>
      </c>
      <c r="C10" s="218" t="s">
        <v>10</v>
      </c>
      <c r="D10" s="207" t="s">
        <v>7</v>
      </c>
      <c r="E10" s="203" t="s">
        <v>5</v>
      </c>
      <c r="F10" s="203" t="s">
        <v>8</v>
      </c>
      <c r="G10" s="203" t="s">
        <v>9</v>
      </c>
      <c r="H10" s="204" t="s">
        <v>89</v>
      </c>
      <c r="I10" s="205"/>
    </row>
    <row r="11" spans="2:9" x14ac:dyDescent="0.25">
      <c r="B11" s="247">
        <v>4</v>
      </c>
      <c r="C11" s="218" t="s">
        <v>14</v>
      </c>
      <c r="D11" s="27" t="s">
        <v>11</v>
      </c>
      <c r="E11" s="203" t="s">
        <v>5</v>
      </c>
      <c r="F11" s="203" t="s">
        <v>37</v>
      </c>
      <c r="G11" s="203" t="s">
        <v>13</v>
      </c>
      <c r="H11" s="204" t="s">
        <v>98</v>
      </c>
      <c r="I11" s="205"/>
    </row>
    <row r="12" spans="2:9" x14ac:dyDescent="0.25">
      <c r="B12" s="247">
        <v>5</v>
      </c>
      <c r="C12" s="218" t="s">
        <v>44</v>
      </c>
      <c r="D12" s="205" t="s">
        <v>102</v>
      </c>
      <c r="E12" s="203" t="s">
        <v>5</v>
      </c>
      <c r="F12" s="203" t="s">
        <v>30</v>
      </c>
      <c r="G12" s="203" t="s">
        <v>103</v>
      </c>
      <c r="H12" s="204" t="s">
        <v>104</v>
      </c>
      <c r="I12" s="205"/>
    </row>
    <row r="13" spans="2:9" x14ac:dyDescent="0.25">
      <c r="B13" s="247">
        <v>6</v>
      </c>
      <c r="C13" s="218" t="s">
        <v>1198</v>
      </c>
      <c r="D13" s="205" t="s">
        <v>121</v>
      </c>
      <c r="E13" s="203" t="s">
        <v>15</v>
      </c>
      <c r="F13" s="203" t="s">
        <v>36</v>
      </c>
      <c r="G13" s="203"/>
      <c r="H13" s="208" t="s">
        <v>122</v>
      </c>
      <c r="I13" s="205"/>
    </row>
    <row r="14" spans="2:9" x14ac:dyDescent="0.25">
      <c r="B14" s="326" t="s">
        <v>125</v>
      </c>
      <c r="C14" s="327"/>
      <c r="D14" s="327"/>
      <c r="E14" s="209"/>
      <c r="F14" s="209"/>
      <c r="G14" s="209"/>
      <c r="H14" s="209"/>
      <c r="I14" s="209"/>
    </row>
    <row r="15" spans="2:9" ht="24" x14ac:dyDescent="0.25">
      <c r="B15" s="202">
        <v>7</v>
      </c>
      <c r="C15" s="221" t="s">
        <v>5536</v>
      </c>
      <c r="D15" s="206" t="s">
        <v>1220</v>
      </c>
      <c r="E15" s="210" t="s">
        <v>5</v>
      </c>
      <c r="F15" s="210" t="s">
        <v>17</v>
      </c>
      <c r="G15" s="210" t="s">
        <v>127</v>
      </c>
      <c r="H15" s="191" t="s">
        <v>973</v>
      </c>
      <c r="I15" s="205"/>
    </row>
    <row r="16" spans="2:9" ht="24" x14ac:dyDescent="0.25">
      <c r="B16" s="202">
        <v>8</v>
      </c>
      <c r="C16" s="221" t="s">
        <v>5547</v>
      </c>
      <c r="D16" s="206" t="s">
        <v>1221</v>
      </c>
      <c r="E16" s="210" t="s">
        <v>5</v>
      </c>
      <c r="F16" s="210" t="s">
        <v>143</v>
      </c>
      <c r="G16" s="210" t="s">
        <v>144</v>
      </c>
      <c r="H16" s="191" t="s">
        <v>975</v>
      </c>
      <c r="I16" s="205"/>
    </row>
    <row r="17" spans="2:9" ht="24" x14ac:dyDescent="0.25">
      <c r="B17" s="202">
        <v>9</v>
      </c>
      <c r="C17" s="221" t="s">
        <v>5538</v>
      </c>
      <c r="D17" s="206" t="s">
        <v>156</v>
      </c>
      <c r="E17" s="210" t="s">
        <v>5</v>
      </c>
      <c r="F17" s="210" t="s">
        <v>36</v>
      </c>
      <c r="G17" s="210"/>
      <c r="H17" s="204" t="s">
        <v>157</v>
      </c>
      <c r="I17" s="205"/>
    </row>
    <row r="18" spans="2:9" ht="48" x14ac:dyDescent="0.25">
      <c r="B18" s="202">
        <v>10</v>
      </c>
      <c r="C18" s="221" t="s">
        <v>5539</v>
      </c>
      <c r="D18" s="206" t="s">
        <v>2005</v>
      </c>
      <c r="E18" s="211" t="s">
        <v>15</v>
      </c>
      <c r="F18" s="210" t="s">
        <v>162</v>
      </c>
      <c r="G18" s="205"/>
      <c r="H18" s="204" t="s">
        <v>1222</v>
      </c>
      <c r="I18" s="205"/>
    </row>
    <row r="19" spans="2:9" ht="48" x14ac:dyDescent="0.25">
      <c r="B19" s="202">
        <v>11</v>
      </c>
      <c r="C19" s="221" t="s">
        <v>5540</v>
      </c>
      <c r="D19" s="206" t="s">
        <v>2006</v>
      </c>
      <c r="E19" s="211" t="s">
        <v>15</v>
      </c>
      <c r="F19" s="210" t="s">
        <v>30</v>
      </c>
      <c r="G19" s="210" t="s">
        <v>168</v>
      </c>
      <c r="H19" s="204" t="s">
        <v>1223</v>
      </c>
      <c r="I19" s="205"/>
    </row>
    <row r="20" spans="2:9" x14ac:dyDescent="0.25">
      <c r="B20" s="326" t="s">
        <v>271</v>
      </c>
      <c r="C20" s="327"/>
      <c r="D20" s="327"/>
      <c r="E20" s="209"/>
      <c r="F20" s="209"/>
      <c r="G20" s="209"/>
      <c r="H20" s="209"/>
      <c r="I20" s="209"/>
    </row>
    <row r="21" spans="2:9" ht="24" x14ac:dyDescent="0.25">
      <c r="B21" s="202">
        <v>12</v>
      </c>
      <c r="C21" s="221" t="s">
        <v>1202</v>
      </c>
      <c r="D21" s="206" t="s">
        <v>1972</v>
      </c>
      <c r="E21" s="210" t="s">
        <v>5</v>
      </c>
      <c r="F21" s="210" t="s">
        <v>17</v>
      </c>
      <c r="G21" s="210" t="s">
        <v>273</v>
      </c>
      <c r="H21" s="204" t="s">
        <v>274</v>
      </c>
      <c r="I21" s="205"/>
    </row>
    <row r="22" spans="2:9" ht="24" x14ac:dyDescent="0.25">
      <c r="B22" s="202">
        <v>13</v>
      </c>
      <c r="C22" s="221" t="s">
        <v>1203</v>
      </c>
      <c r="D22" s="206" t="s">
        <v>1973</v>
      </c>
      <c r="E22" s="210" t="s">
        <v>5</v>
      </c>
      <c r="F22" s="210" t="s">
        <v>18</v>
      </c>
      <c r="G22" s="205"/>
      <c r="H22" s="204" t="s">
        <v>282</v>
      </c>
      <c r="I22" s="205"/>
    </row>
    <row r="23" spans="2:9" ht="24" x14ac:dyDescent="0.25">
      <c r="B23" s="202">
        <v>14</v>
      </c>
      <c r="C23" s="221" t="s">
        <v>1204</v>
      </c>
      <c r="D23" s="206" t="s">
        <v>304</v>
      </c>
      <c r="E23" s="210" t="s">
        <v>5</v>
      </c>
      <c r="F23" s="210" t="s">
        <v>36</v>
      </c>
      <c r="G23" s="205"/>
      <c r="H23" s="204" t="s">
        <v>305</v>
      </c>
      <c r="I23" s="205"/>
    </row>
    <row r="24" spans="2:9" x14ac:dyDescent="0.25">
      <c r="B24" s="326" t="s">
        <v>309</v>
      </c>
      <c r="C24" s="327"/>
      <c r="D24" s="327"/>
      <c r="E24" s="209"/>
      <c r="F24" s="209"/>
      <c r="G24" s="209"/>
      <c r="H24" s="209"/>
      <c r="I24" s="209"/>
    </row>
    <row r="25" spans="2:9" ht="24" x14ac:dyDescent="0.25">
      <c r="B25" s="202">
        <v>15</v>
      </c>
      <c r="C25" s="221" t="s">
        <v>5541</v>
      </c>
      <c r="D25" s="206" t="s">
        <v>1974</v>
      </c>
      <c r="E25" s="211" t="s">
        <v>15</v>
      </c>
      <c r="F25" s="210" t="s">
        <v>17</v>
      </c>
      <c r="G25" s="210" t="s">
        <v>273</v>
      </c>
      <c r="H25" s="204" t="s">
        <v>311</v>
      </c>
      <c r="I25" s="205"/>
    </row>
    <row r="26" spans="2:9" ht="24" x14ac:dyDescent="0.25">
      <c r="B26" s="202">
        <v>16</v>
      </c>
      <c r="C26" s="221" t="s">
        <v>5542</v>
      </c>
      <c r="D26" s="206" t="s">
        <v>1975</v>
      </c>
      <c r="E26" s="211" t="s">
        <v>15</v>
      </c>
      <c r="F26" s="210" t="s">
        <v>18</v>
      </c>
      <c r="G26" s="205"/>
      <c r="H26" s="204" t="s">
        <v>321</v>
      </c>
      <c r="I26" s="205"/>
    </row>
    <row r="27" spans="2:9" ht="24" x14ac:dyDescent="0.25">
      <c r="B27" s="202">
        <v>17</v>
      </c>
      <c r="C27" s="221" t="s">
        <v>5543</v>
      </c>
      <c r="D27" s="206" t="s">
        <v>344</v>
      </c>
      <c r="E27" s="211" t="s">
        <v>15</v>
      </c>
      <c r="F27" s="210" t="s">
        <v>36</v>
      </c>
      <c r="G27" s="205"/>
      <c r="H27" s="204" t="s">
        <v>345</v>
      </c>
      <c r="I27" s="205"/>
    </row>
    <row r="28" spans="2:9" x14ac:dyDescent="0.25">
      <c r="B28" s="326" t="s">
        <v>349</v>
      </c>
      <c r="C28" s="327"/>
      <c r="D28" s="327"/>
      <c r="E28" s="209"/>
      <c r="F28" s="209"/>
      <c r="G28" s="209"/>
      <c r="H28" s="209"/>
      <c r="I28" s="209"/>
    </row>
    <row r="29" spans="2:9" ht="24" x14ac:dyDescent="0.25">
      <c r="B29" s="202">
        <v>18</v>
      </c>
      <c r="C29" s="221" t="s">
        <v>5544</v>
      </c>
      <c r="D29" s="206" t="s">
        <v>1976</v>
      </c>
      <c r="E29" s="211" t="s">
        <v>15</v>
      </c>
      <c r="F29" s="210" t="s">
        <v>17</v>
      </c>
      <c r="G29" s="210" t="s">
        <v>273</v>
      </c>
      <c r="H29" s="204" t="s">
        <v>351</v>
      </c>
      <c r="I29" s="205"/>
    </row>
    <row r="30" spans="2:9" ht="24" x14ac:dyDescent="0.25">
      <c r="B30" s="202">
        <v>19</v>
      </c>
      <c r="C30" s="221" t="s">
        <v>5545</v>
      </c>
      <c r="D30" s="206" t="s">
        <v>1977</v>
      </c>
      <c r="E30" s="211" t="s">
        <v>15</v>
      </c>
      <c r="F30" s="210" t="s">
        <v>18</v>
      </c>
      <c r="G30" s="205"/>
      <c r="H30" s="204" t="s">
        <v>358</v>
      </c>
      <c r="I30" s="205"/>
    </row>
    <row r="31" spans="2:9" ht="24" x14ac:dyDescent="0.25">
      <c r="B31" s="202">
        <v>20</v>
      </c>
      <c r="C31" s="221" t="s">
        <v>5546</v>
      </c>
      <c r="D31" s="206" t="s">
        <v>381</v>
      </c>
      <c r="E31" s="211" t="s">
        <v>15</v>
      </c>
      <c r="F31" s="210" t="s">
        <v>36</v>
      </c>
      <c r="G31" s="205"/>
      <c r="H31" s="204" t="s">
        <v>382</v>
      </c>
      <c r="I31" s="205"/>
    </row>
    <row r="32" spans="2:9" x14ac:dyDescent="0.25">
      <c r="B32" s="205"/>
      <c r="C32" s="205"/>
      <c r="D32" s="205"/>
      <c r="E32" s="205"/>
      <c r="F32" s="205"/>
      <c r="G32" s="205"/>
      <c r="H32" s="205"/>
      <c r="I32" s="205"/>
    </row>
    <row r="33" spans="2:9" x14ac:dyDescent="0.25">
      <c r="B33" s="324" t="s">
        <v>2059</v>
      </c>
      <c r="C33" s="325"/>
      <c r="D33" s="325"/>
      <c r="E33" s="325"/>
      <c r="F33" s="325"/>
      <c r="G33" s="325"/>
      <c r="H33" s="325"/>
      <c r="I33" s="325"/>
    </row>
    <row r="34" spans="2:9" x14ac:dyDescent="0.25">
      <c r="B34" s="326" t="s">
        <v>387</v>
      </c>
      <c r="C34" s="327"/>
      <c r="D34" s="327"/>
      <c r="E34" s="209"/>
      <c r="F34" s="209"/>
      <c r="G34" s="209"/>
      <c r="H34" s="209"/>
      <c r="I34" s="209"/>
    </row>
    <row r="35" spans="2:9" x14ac:dyDescent="0.25">
      <c r="B35" s="224">
        <v>1</v>
      </c>
      <c r="C35" s="225"/>
      <c r="D35" s="223" t="s">
        <v>2054</v>
      </c>
      <c r="E35" s="226" t="s">
        <v>5</v>
      </c>
      <c r="F35" s="226" t="s">
        <v>19</v>
      </c>
      <c r="G35" s="224" t="s">
        <v>2062</v>
      </c>
      <c r="H35" s="223"/>
      <c r="I35" s="225"/>
    </row>
    <row r="36" spans="2:9" x14ac:dyDescent="0.25">
      <c r="B36" s="247">
        <v>2</v>
      </c>
      <c r="C36" s="221" t="s">
        <v>1205</v>
      </c>
      <c r="D36" s="206" t="s">
        <v>392</v>
      </c>
      <c r="E36" s="210" t="s">
        <v>5</v>
      </c>
      <c r="F36" s="210" t="s">
        <v>30</v>
      </c>
      <c r="G36" s="210" t="s">
        <v>393</v>
      </c>
      <c r="H36" s="204" t="s">
        <v>394</v>
      </c>
      <c r="I36" s="205"/>
    </row>
    <row r="37" spans="2:9" x14ac:dyDescent="0.25">
      <c r="B37" s="247">
        <v>3</v>
      </c>
      <c r="C37" s="221" t="s">
        <v>1206</v>
      </c>
      <c r="D37" s="206" t="s">
        <v>403</v>
      </c>
      <c r="E37" s="210" t="s">
        <v>15</v>
      </c>
      <c r="F37" s="210" t="s">
        <v>35</v>
      </c>
      <c r="G37" s="210"/>
      <c r="H37" s="204" t="s">
        <v>404</v>
      </c>
      <c r="I37" s="205"/>
    </row>
    <row r="38" spans="2:9" x14ac:dyDescent="0.25">
      <c r="B38" s="247">
        <v>4</v>
      </c>
      <c r="C38" s="221" t="s">
        <v>1208</v>
      </c>
      <c r="D38" s="206" t="s">
        <v>1978</v>
      </c>
      <c r="E38" s="210" t="s">
        <v>15</v>
      </c>
      <c r="F38" s="210" t="s">
        <v>413</v>
      </c>
      <c r="G38" s="211" t="s">
        <v>414</v>
      </c>
      <c r="H38" s="204" t="s">
        <v>415</v>
      </c>
      <c r="I38" s="205"/>
    </row>
    <row r="39" spans="2:9" ht="24" x14ac:dyDescent="0.25">
      <c r="B39" s="247">
        <v>5</v>
      </c>
      <c r="C39" s="221" t="s">
        <v>5548</v>
      </c>
      <c r="D39" s="206" t="s">
        <v>1979</v>
      </c>
      <c r="E39" s="210" t="s">
        <v>15</v>
      </c>
      <c r="F39" s="210" t="s">
        <v>19</v>
      </c>
      <c r="G39" s="212" t="s">
        <v>1982</v>
      </c>
      <c r="H39" s="204" t="s">
        <v>423</v>
      </c>
      <c r="I39" s="205"/>
    </row>
    <row r="40" spans="2:9" ht="24" x14ac:dyDescent="0.25">
      <c r="B40" s="247">
        <v>6</v>
      </c>
      <c r="C40" s="221" t="s">
        <v>1983</v>
      </c>
      <c r="D40" s="206" t="s">
        <v>426</v>
      </c>
      <c r="E40" s="210" t="s">
        <v>15</v>
      </c>
      <c r="F40" s="210" t="s">
        <v>36</v>
      </c>
      <c r="G40" s="211"/>
      <c r="H40" s="204" t="s">
        <v>427</v>
      </c>
      <c r="I40" s="205"/>
    </row>
    <row r="41" spans="2:9" x14ac:dyDescent="0.25">
      <c r="B41" s="247">
        <v>7</v>
      </c>
      <c r="C41" s="221" t="s">
        <v>1984</v>
      </c>
      <c r="D41" s="206" t="s">
        <v>1980</v>
      </c>
      <c r="E41" s="210" t="s">
        <v>5</v>
      </c>
      <c r="F41" s="210" t="s">
        <v>413</v>
      </c>
      <c r="G41" s="211" t="s">
        <v>414</v>
      </c>
      <c r="H41" s="204" t="s">
        <v>434</v>
      </c>
      <c r="I41" s="205"/>
    </row>
    <row r="42" spans="2:9" ht="36" x14ac:dyDescent="0.25">
      <c r="B42" s="247">
        <v>8</v>
      </c>
      <c r="C42" s="221" t="s">
        <v>1207</v>
      </c>
      <c r="D42" s="206" t="s">
        <v>1981</v>
      </c>
      <c r="E42" s="210" t="s">
        <v>5</v>
      </c>
      <c r="F42" s="210" t="s">
        <v>19</v>
      </c>
      <c r="G42" s="212" t="s">
        <v>437</v>
      </c>
      <c r="H42" s="204" t="s">
        <v>438</v>
      </c>
      <c r="I42" s="205"/>
    </row>
    <row r="43" spans="2:9" ht="24" x14ac:dyDescent="0.25">
      <c r="B43" s="247">
        <v>9</v>
      </c>
      <c r="C43" s="221" t="s">
        <v>1209</v>
      </c>
      <c r="D43" s="206" t="s">
        <v>442</v>
      </c>
      <c r="E43" s="210" t="s">
        <v>15</v>
      </c>
      <c r="F43" s="210" t="s">
        <v>443</v>
      </c>
      <c r="G43" s="211" t="s">
        <v>444</v>
      </c>
      <c r="H43" s="204" t="s">
        <v>445</v>
      </c>
      <c r="I43" s="205"/>
    </row>
    <row r="44" spans="2:9" ht="24" x14ac:dyDescent="0.25">
      <c r="B44" s="247">
        <v>10</v>
      </c>
      <c r="C44" s="221" t="s">
        <v>1985</v>
      </c>
      <c r="D44" s="206" t="s">
        <v>450</v>
      </c>
      <c r="E44" s="210" t="s">
        <v>15</v>
      </c>
      <c r="F44" s="210" t="s">
        <v>451</v>
      </c>
      <c r="G44" s="211" t="s">
        <v>58</v>
      </c>
      <c r="H44" s="204" t="s">
        <v>452</v>
      </c>
      <c r="I44" s="205"/>
    </row>
    <row r="45" spans="2:9" ht="24" x14ac:dyDescent="0.25">
      <c r="B45" s="247">
        <v>11</v>
      </c>
      <c r="C45" s="221" t="s">
        <v>1987</v>
      </c>
      <c r="D45" s="206" t="s">
        <v>459</v>
      </c>
      <c r="E45" s="210" t="s">
        <v>15</v>
      </c>
      <c r="F45" s="210" t="s">
        <v>33</v>
      </c>
      <c r="G45" s="211"/>
      <c r="H45" s="204" t="s">
        <v>460</v>
      </c>
      <c r="I45" s="205"/>
    </row>
    <row r="46" spans="2:9" ht="24" x14ac:dyDescent="0.25">
      <c r="B46" s="247">
        <v>12</v>
      </c>
      <c r="C46" s="221" t="s">
        <v>1986</v>
      </c>
      <c r="D46" s="206" t="s">
        <v>467</v>
      </c>
      <c r="E46" s="210" t="s">
        <v>15</v>
      </c>
      <c r="F46" s="210" t="s">
        <v>451</v>
      </c>
      <c r="G46" s="211" t="s">
        <v>58</v>
      </c>
      <c r="H46" s="204" t="s">
        <v>452</v>
      </c>
      <c r="I46" s="205"/>
    </row>
    <row r="47" spans="2:9" ht="24" x14ac:dyDescent="0.25">
      <c r="B47" s="247">
        <v>13</v>
      </c>
      <c r="C47" s="221" t="s">
        <v>1988</v>
      </c>
      <c r="D47" s="206" t="s">
        <v>468</v>
      </c>
      <c r="E47" s="210" t="s">
        <v>15</v>
      </c>
      <c r="F47" s="210" t="s">
        <v>33</v>
      </c>
      <c r="G47" s="211"/>
      <c r="H47" s="204" t="s">
        <v>460</v>
      </c>
      <c r="I47" s="205"/>
    </row>
    <row r="48" spans="2:9" ht="24" x14ac:dyDescent="0.25">
      <c r="B48" s="202">
        <v>14</v>
      </c>
      <c r="C48" s="221" t="s">
        <v>1210</v>
      </c>
      <c r="D48" s="206" t="s">
        <v>470</v>
      </c>
      <c r="E48" s="210" t="s">
        <v>5</v>
      </c>
      <c r="F48" s="210" t="s">
        <v>30</v>
      </c>
      <c r="G48" s="210" t="s">
        <v>471</v>
      </c>
      <c r="H48" s="208" t="s">
        <v>472</v>
      </c>
      <c r="I48" s="205"/>
    </row>
    <row r="49" spans="2:9" ht="24" x14ac:dyDescent="0.25">
      <c r="B49" s="247">
        <v>15</v>
      </c>
      <c r="C49" s="221" t="s">
        <v>1211</v>
      </c>
      <c r="D49" s="206" t="s">
        <v>480</v>
      </c>
      <c r="E49" s="210" t="s">
        <v>15</v>
      </c>
      <c r="F49" s="210" t="s">
        <v>16</v>
      </c>
      <c r="G49" s="210" t="s">
        <v>9</v>
      </c>
      <c r="H49" s="208" t="s">
        <v>481</v>
      </c>
      <c r="I49" s="205"/>
    </row>
    <row r="50" spans="2:9" ht="24" x14ac:dyDescent="0.25">
      <c r="B50" s="247">
        <v>16</v>
      </c>
      <c r="C50" s="221" t="s">
        <v>1995</v>
      </c>
      <c r="D50" s="206" t="s">
        <v>494</v>
      </c>
      <c r="E50" s="210" t="s">
        <v>15</v>
      </c>
      <c r="F50" s="210" t="s">
        <v>16</v>
      </c>
      <c r="G50" s="210" t="s">
        <v>9</v>
      </c>
      <c r="H50" s="208" t="s">
        <v>481</v>
      </c>
      <c r="I50" s="205"/>
    </row>
    <row r="51" spans="2:9" ht="24" x14ac:dyDescent="0.25">
      <c r="B51" s="247">
        <v>17</v>
      </c>
      <c r="C51" s="221" t="s">
        <v>1991</v>
      </c>
      <c r="D51" s="206" t="s">
        <v>500</v>
      </c>
      <c r="E51" s="210" t="s">
        <v>15</v>
      </c>
      <c r="F51" s="210" t="s">
        <v>162</v>
      </c>
      <c r="G51" s="210" t="s">
        <v>501</v>
      </c>
      <c r="H51" s="208" t="s">
        <v>502</v>
      </c>
      <c r="I51" s="205"/>
    </row>
    <row r="52" spans="2:9" ht="24" x14ac:dyDescent="0.25">
      <c r="B52" s="247">
        <v>18</v>
      </c>
      <c r="C52" s="221" t="s">
        <v>1992</v>
      </c>
      <c r="D52" s="206" t="s">
        <v>507</v>
      </c>
      <c r="E52" s="210" t="s">
        <v>15</v>
      </c>
      <c r="F52" s="210" t="s">
        <v>162</v>
      </c>
      <c r="G52" s="210" t="s">
        <v>508</v>
      </c>
      <c r="H52" s="208" t="s">
        <v>502</v>
      </c>
      <c r="I52" s="205"/>
    </row>
    <row r="53" spans="2:9" ht="36" x14ac:dyDescent="0.25">
      <c r="B53" s="247">
        <v>19</v>
      </c>
      <c r="C53" s="221" t="s">
        <v>2115</v>
      </c>
      <c r="D53" s="206" t="s">
        <v>510</v>
      </c>
      <c r="E53" s="210" t="s">
        <v>15</v>
      </c>
      <c r="F53" s="210" t="s">
        <v>162</v>
      </c>
      <c r="G53" s="210" t="s">
        <v>511</v>
      </c>
      <c r="H53" s="208" t="s">
        <v>502</v>
      </c>
      <c r="I53" s="205"/>
    </row>
    <row r="54" spans="2:9" ht="24" x14ac:dyDescent="0.25">
      <c r="B54" s="247">
        <v>20</v>
      </c>
      <c r="C54" s="221" t="s">
        <v>1993</v>
      </c>
      <c r="D54" s="206" t="s">
        <v>513</v>
      </c>
      <c r="E54" s="210" t="s">
        <v>15</v>
      </c>
      <c r="F54" s="210" t="s">
        <v>162</v>
      </c>
      <c r="G54" s="210" t="s">
        <v>514</v>
      </c>
      <c r="H54" s="208" t="s">
        <v>502</v>
      </c>
      <c r="I54" s="205"/>
    </row>
    <row r="55" spans="2:9" ht="24" x14ac:dyDescent="0.25">
      <c r="B55" s="247">
        <v>21</v>
      </c>
      <c r="C55" s="221" t="s">
        <v>1996</v>
      </c>
      <c r="D55" s="183" t="s">
        <v>516</v>
      </c>
      <c r="E55" s="210" t="s">
        <v>15</v>
      </c>
      <c r="F55" s="210" t="s">
        <v>162</v>
      </c>
      <c r="G55" s="210" t="s">
        <v>517</v>
      </c>
      <c r="H55" s="208" t="s">
        <v>502</v>
      </c>
      <c r="I55" s="205"/>
    </row>
    <row r="56" spans="2:9" ht="36" x14ac:dyDescent="0.25">
      <c r="B56" s="247">
        <v>22</v>
      </c>
      <c r="C56" s="221" t="s">
        <v>1994</v>
      </c>
      <c r="D56" s="183" t="s">
        <v>1989</v>
      </c>
      <c r="E56" s="210" t="s">
        <v>15</v>
      </c>
      <c r="F56" s="210" t="s">
        <v>162</v>
      </c>
      <c r="G56" s="210" t="s">
        <v>524</v>
      </c>
      <c r="H56" s="208" t="s">
        <v>502</v>
      </c>
      <c r="I56" s="205"/>
    </row>
    <row r="57" spans="2:9" ht="48" x14ac:dyDescent="0.25">
      <c r="B57" s="247">
        <v>23</v>
      </c>
      <c r="C57" s="221" t="s">
        <v>2045</v>
      </c>
      <c r="D57" s="183" t="s">
        <v>530</v>
      </c>
      <c r="E57" s="210" t="s">
        <v>15</v>
      </c>
      <c r="F57" s="210" t="s">
        <v>17</v>
      </c>
      <c r="G57" s="210" t="s">
        <v>531</v>
      </c>
      <c r="H57" s="208" t="s">
        <v>532</v>
      </c>
      <c r="I57" s="205"/>
    </row>
    <row r="58" spans="2:9" x14ac:dyDescent="0.25">
      <c r="B58" s="205"/>
      <c r="C58" s="220"/>
      <c r="D58" s="183"/>
      <c r="E58" s="205"/>
      <c r="F58" s="205"/>
      <c r="G58" s="205"/>
      <c r="H58" s="206"/>
      <c r="I58" s="205"/>
    </row>
    <row r="59" spans="2:9" x14ac:dyDescent="0.25">
      <c r="B59" s="324" t="s">
        <v>2104</v>
      </c>
      <c r="C59" s="325"/>
      <c r="D59" s="325"/>
      <c r="E59" s="325"/>
      <c r="F59" s="325"/>
      <c r="G59" s="325"/>
      <c r="H59" s="325"/>
      <c r="I59" s="325"/>
    </row>
    <row r="60" spans="2:9" x14ac:dyDescent="0.25">
      <c r="B60" s="326" t="s">
        <v>535</v>
      </c>
      <c r="C60" s="327"/>
      <c r="D60" s="327"/>
      <c r="E60" s="209"/>
      <c r="F60" s="209"/>
      <c r="G60" s="209"/>
      <c r="H60" s="213"/>
      <c r="I60" s="209"/>
    </row>
    <row r="61" spans="2:9" x14ac:dyDescent="0.25">
      <c r="B61" s="224">
        <v>1</v>
      </c>
      <c r="C61" s="225"/>
      <c r="D61" s="223" t="s">
        <v>2054</v>
      </c>
      <c r="E61" s="226" t="s">
        <v>5</v>
      </c>
      <c r="F61" s="226" t="s">
        <v>19</v>
      </c>
      <c r="G61" s="224" t="s">
        <v>2103</v>
      </c>
      <c r="H61" s="223"/>
      <c r="I61" s="225"/>
    </row>
    <row r="62" spans="2:9" ht="24" x14ac:dyDescent="0.25">
      <c r="B62" s="247">
        <v>2</v>
      </c>
      <c r="C62" s="221" t="s">
        <v>1212</v>
      </c>
      <c r="D62" s="183" t="s">
        <v>1998</v>
      </c>
      <c r="E62" s="210" t="s">
        <v>15</v>
      </c>
      <c r="F62" s="210" t="s">
        <v>17</v>
      </c>
      <c r="G62" s="210" t="s">
        <v>127</v>
      </c>
      <c r="H62" s="208" t="s">
        <v>1997</v>
      </c>
      <c r="I62" s="205"/>
    </row>
    <row r="63" spans="2:9" ht="24" x14ac:dyDescent="0.25">
      <c r="B63" s="247">
        <v>3</v>
      </c>
      <c r="C63" s="221" t="s">
        <v>1213</v>
      </c>
      <c r="D63" s="183" t="s">
        <v>2000</v>
      </c>
      <c r="E63" s="210" t="s">
        <v>15</v>
      </c>
      <c r="F63" s="210" t="s">
        <v>143</v>
      </c>
      <c r="G63" s="210" t="s">
        <v>144</v>
      </c>
      <c r="H63" s="208" t="s">
        <v>1999</v>
      </c>
      <c r="I63" s="205"/>
    </row>
    <row r="64" spans="2:9" ht="24" x14ac:dyDescent="0.25">
      <c r="B64" s="247">
        <v>4</v>
      </c>
      <c r="C64" s="221" t="s">
        <v>1214</v>
      </c>
      <c r="D64" s="183" t="s">
        <v>558</v>
      </c>
      <c r="E64" s="210" t="s">
        <v>15</v>
      </c>
      <c r="F64" s="210" t="s">
        <v>36</v>
      </c>
      <c r="G64" s="210"/>
      <c r="H64" s="208" t="s">
        <v>559</v>
      </c>
      <c r="I64" s="205"/>
    </row>
    <row r="65" spans="2:9" ht="24" x14ac:dyDescent="0.25">
      <c r="B65" s="247">
        <v>5</v>
      </c>
      <c r="C65" s="221" t="s">
        <v>2039</v>
      </c>
      <c r="D65" s="183" t="s">
        <v>564</v>
      </c>
      <c r="E65" s="210" t="s">
        <v>15</v>
      </c>
      <c r="F65" s="210" t="s">
        <v>33</v>
      </c>
      <c r="G65" s="210"/>
      <c r="H65" s="208" t="s">
        <v>982</v>
      </c>
      <c r="I65" s="205"/>
    </row>
    <row r="66" spans="2:9" ht="48" x14ac:dyDescent="0.25">
      <c r="B66" s="247">
        <v>6</v>
      </c>
      <c r="C66" s="221" t="s">
        <v>2040</v>
      </c>
      <c r="D66" s="183" t="s">
        <v>2003</v>
      </c>
      <c r="E66" s="210" t="s">
        <v>15</v>
      </c>
      <c r="F66" s="210" t="s">
        <v>162</v>
      </c>
      <c r="G66" s="210"/>
      <c r="H66" s="208" t="s">
        <v>2001</v>
      </c>
      <c r="I66" s="205"/>
    </row>
    <row r="67" spans="2:9" ht="48" x14ac:dyDescent="0.25">
      <c r="B67" s="247">
        <v>7</v>
      </c>
      <c r="C67" s="242" t="s">
        <v>2041</v>
      </c>
      <c r="D67" s="187" t="s">
        <v>2004</v>
      </c>
      <c r="E67" s="210" t="s">
        <v>15</v>
      </c>
      <c r="F67" s="210" t="s">
        <v>30</v>
      </c>
      <c r="G67" s="210" t="s">
        <v>168</v>
      </c>
      <c r="H67" s="208" t="s">
        <v>2002</v>
      </c>
      <c r="I67" s="205"/>
    </row>
    <row r="68" spans="2:9" x14ac:dyDescent="0.25">
      <c r="B68" s="205"/>
      <c r="C68" s="220"/>
      <c r="D68" s="183"/>
      <c r="E68" s="205"/>
      <c r="F68" s="205"/>
      <c r="G68" s="205"/>
      <c r="H68" s="206"/>
      <c r="I68" s="205"/>
    </row>
    <row r="69" spans="2:9" x14ac:dyDescent="0.25">
      <c r="B69" s="324" t="s">
        <v>2071</v>
      </c>
      <c r="C69" s="325"/>
      <c r="D69" s="325"/>
      <c r="E69" s="325"/>
      <c r="F69" s="325"/>
      <c r="G69" s="325"/>
      <c r="H69" s="325"/>
      <c r="I69" s="325"/>
    </row>
    <row r="70" spans="2:9" x14ac:dyDescent="0.25">
      <c r="B70" s="326" t="s">
        <v>583</v>
      </c>
      <c r="C70" s="327"/>
      <c r="D70" s="327"/>
      <c r="E70" s="209"/>
      <c r="F70" s="209"/>
      <c r="G70" s="209"/>
      <c r="H70" s="236" t="s">
        <v>2023</v>
      </c>
      <c r="I70" s="236" t="s">
        <v>2022</v>
      </c>
    </row>
    <row r="71" spans="2:9" x14ac:dyDescent="0.25">
      <c r="B71" s="326" t="s">
        <v>2007</v>
      </c>
      <c r="C71" s="327"/>
      <c r="D71" s="327"/>
      <c r="E71" s="209"/>
      <c r="F71" s="209"/>
      <c r="G71" s="209"/>
      <c r="H71" s="236"/>
      <c r="I71" s="236"/>
    </row>
    <row r="72" spans="2:9" x14ac:dyDescent="0.25">
      <c r="B72" s="224">
        <v>1</v>
      </c>
      <c r="C72" s="225"/>
      <c r="D72" s="223" t="s">
        <v>2054</v>
      </c>
      <c r="E72" s="226" t="s">
        <v>5</v>
      </c>
      <c r="F72" s="226" t="s">
        <v>19</v>
      </c>
      <c r="G72" s="224" t="s">
        <v>2070</v>
      </c>
      <c r="H72" s="223"/>
      <c r="I72" s="225"/>
    </row>
    <row r="73" spans="2:9" ht="24" x14ac:dyDescent="0.25">
      <c r="B73" s="224">
        <v>2</v>
      </c>
      <c r="C73" s="239" t="s">
        <v>2078</v>
      </c>
      <c r="D73" s="237" t="s">
        <v>2080</v>
      </c>
      <c r="E73" s="226"/>
      <c r="F73" s="226"/>
      <c r="G73" s="241" t="s">
        <v>2072</v>
      </c>
      <c r="H73" s="223"/>
      <c r="I73" s="225"/>
    </row>
    <row r="74" spans="2:9" ht="36" x14ac:dyDescent="0.25">
      <c r="B74" s="202">
        <v>3</v>
      </c>
      <c r="C74" s="200" t="s">
        <v>2037</v>
      </c>
      <c r="D74" s="183" t="s">
        <v>584</v>
      </c>
      <c r="E74" s="210" t="s">
        <v>15</v>
      </c>
      <c r="F74" s="210" t="s">
        <v>25</v>
      </c>
      <c r="G74" s="210"/>
      <c r="H74" s="208" t="s">
        <v>585</v>
      </c>
      <c r="I74" s="208" t="s">
        <v>618</v>
      </c>
    </row>
    <row r="75" spans="2:9" ht="36" x14ac:dyDescent="0.25">
      <c r="B75" s="202">
        <v>4</v>
      </c>
      <c r="C75" s="200" t="s">
        <v>2042</v>
      </c>
      <c r="D75" s="183" t="s">
        <v>596</v>
      </c>
      <c r="E75" s="210" t="s">
        <v>15</v>
      </c>
      <c r="F75" s="210" t="s">
        <v>18</v>
      </c>
      <c r="G75" s="210"/>
      <c r="H75" s="208" t="s">
        <v>597</v>
      </c>
      <c r="I75" s="208" t="s">
        <v>2013</v>
      </c>
    </row>
    <row r="76" spans="2:9" ht="48" x14ac:dyDescent="0.25">
      <c r="B76" s="202">
        <v>5</v>
      </c>
      <c r="C76" s="200" t="s">
        <v>2043</v>
      </c>
      <c r="D76" s="183" t="s">
        <v>2010</v>
      </c>
      <c r="E76" s="210" t="s">
        <v>15</v>
      </c>
      <c r="F76" s="210" t="s">
        <v>162</v>
      </c>
      <c r="G76" s="210"/>
      <c r="H76" s="208" t="s">
        <v>2009</v>
      </c>
      <c r="I76" s="208" t="s">
        <v>2014</v>
      </c>
    </row>
    <row r="77" spans="2:9" ht="48" x14ac:dyDescent="0.25">
      <c r="B77" s="202">
        <v>6</v>
      </c>
      <c r="C77" s="200" t="s">
        <v>2038</v>
      </c>
      <c r="D77" s="183" t="s">
        <v>2012</v>
      </c>
      <c r="E77" s="210" t="s">
        <v>15</v>
      </c>
      <c r="F77" s="210" t="s">
        <v>30</v>
      </c>
      <c r="G77" s="210" t="s">
        <v>168</v>
      </c>
      <c r="H77" s="208" t="s">
        <v>2011</v>
      </c>
      <c r="I77" s="208" t="s">
        <v>2015</v>
      </c>
    </row>
    <row r="78" spans="2:9" x14ac:dyDescent="0.25">
      <c r="B78" s="205"/>
      <c r="C78" s="220"/>
      <c r="D78" s="183"/>
      <c r="E78" s="205"/>
      <c r="F78" s="205"/>
      <c r="G78" s="205"/>
      <c r="H78" s="206"/>
      <c r="I78" s="205"/>
    </row>
    <row r="79" spans="2:9" x14ac:dyDescent="0.25">
      <c r="B79" s="324" t="s">
        <v>2067</v>
      </c>
      <c r="C79" s="325"/>
      <c r="D79" s="325"/>
      <c r="E79" s="325"/>
      <c r="F79" s="325"/>
      <c r="G79" s="325"/>
      <c r="H79" s="325"/>
      <c r="I79" s="325"/>
    </row>
    <row r="80" spans="2:9" x14ac:dyDescent="0.25">
      <c r="B80" s="326" t="s">
        <v>630</v>
      </c>
      <c r="C80" s="327"/>
      <c r="D80" s="327"/>
      <c r="E80" s="209"/>
      <c r="F80" s="209"/>
      <c r="G80" s="209"/>
      <c r="H80" s="213"/>
      <c r="I80" s="209"/>
    </row>
    <row r="81" spans="2:9" x14ac:dyDescent="0.25">
      <c r="B81" s="326" t="s">
        <v>2008</v>
      </c>
      <c r="C81" s="327"/>
      <c r="D81" s="327"/>
      <c r="E81" s="209"/>
      <c r="F81" s="209"/>
      <c r="G81" s="209"/>
      <c r="H81" s="236" t="s">
        <v>2023</v>
      </c>
      <c r="I81" s="236" t="s">
        <v>2022</v>
      </c>
    </row>
    <row r="82" spans="2:9" x14ac:dyDescent="0.25">
      <c r="B82" s="224">
        <v>1</v>
      </c>
      <c r="C82" s="225"/>
      <c r="D82" s="223" t="s">
        <v>2054</v>
      </c>
      <c r="E82" s="226" t="s">
        <v>5</v>
      </c>
      <c r="F82" s="226" t="s">
        <v>19</v>
      </c>
      <c r="G82" s="224" t="s">
        <v>1623</v>
      </c>
      <c r="H82" s="223"/>
      <c r="I82" s="225"/>
    </row>
    <row r="83" spans="2:9" ht="24" x14ac:dyDescent="0.25">
      <c r="B83" s="202">
        <v>2</v>
      </c>
      <c r="C83" s="200" t="s">
        <v>2073</v>
      </c>
      <c r="D83" s="183" t="s">
        <v>631</v>
      </c>
      <c r="E83" s="210" t="s">
        <v>15</v>
      </c>
      <c r="F83" s="210" t="s">
        <v>632</v>
      </c>
      <c r="G83" s="210" t="s">
        <v>2072</v>
      </c>
      <c r="H83" s="204" t="s">
        <v>634</v>
      </c>
      <c r="I83" s="204" t="s">
        <v>634</v>
      </c>
    </row>
    <row r="84" spans="2:9" ht="24" x14ac:dyDescent="0.25">
      <c r="B84" s="202">
        <v>3</v>
      </c>
      <c r="C84" s="200" t="s">
        <v>2036</v>
      </c>
      <c r="D84" s="183" t="s">
        <v>2016</v>
      </c>
      <c r="E84" s="210" t="s">
        <v>15</v>
      </c>
      <c r="F84" s="210" t="s">
        <v>17</v>
      </c>
      <c r="G84" s="210" t="s">
        <v>273</v>
      </c>
      <c r="H84" s="204" t="s">
        <v>641</v>
      </c>
      <c r="I84" s="204" t="s">
        <v>641</v>
      </c>
    </row>
    <row r="85" spans="2:9" ht="24" x14ac:dyDescent="0.25">
      <c r="B85" s="202">
        <v>4</v>
      </c>
      <c r="C85" s="200" t="s">
        <v>2032</v>
      </c>
      <c r="D85" s="183" t="s">
        <v>2017</v>
      </c>
      <c r="E85" s="210" t="s">
        <v>15</v>
      </c>
      <c r="F85" s="210" t="s">
        <v>18</v>
      </c>
      <c r="G85" s="210"/>
      <c r="H85" s="204" t="s">
        <v>650</v>
      </c>
      <c r="I85" s="204" t="s">
        <v>650</v>
      </c>
    </row>
    <row r="86" spans="2:9" ht="24" x14ac:dyDescent="0.25">
      <c r="B86" s="202">
        <v>5</v>
      </c>
      <c r="C86" s="200" t="s">
        <v>2033</v>
      </c>
      <c r="D86" s="183" t="s">
        <v>2019</v>
      </c>
      <c r="E86" s="210" t="s">
        <v>15</v>
      </c>
      <c r="F86" s="210" t="s">
        <v>36</v>
      </c>
      <c r="G86" s="210"/>
      <c r="H86" s="204" t="s">
        <v>2018</v>
      </c>
      <c r="I86" s="204" t="s">
        <v>2018</v>
      </c>
    </row>
    <row r="87" spans="2:9" ht="24" x14ac:dyDescent="0.25">
      <c r="B87" s="202">
        <v>6</v>
      </c>
      <c r="C87" s="200" t="s">
        <v>2034</v>
      </c>
      <c r="D87" s="183" t="s">
        <v>2021</v>
      </c>
      <c r="E87" s="210" t="s">
        <v>15</v>
      </c>
      <c r="F87" s="210" t="s">
        <v>36</v>
      </c>
      <c r="G87" s="210"/>
      <c r="H87" s="204" t="s">
        <v>2020</v>
      </c>
      <c r="I87" s="204" t="s">
        <v>2020</v>
      </c>
    </row>
    <row r="88" spans="2:9" ht="24" x14ac:dyDescent="0.25">
      <c r="B88" s="202">
        <v>7</v>
      </c>
      <c r="C88" s="200" t="s">
        <v>2035</v>
      </c>
      <c r="D88" s="183" t="s">
        <v>670</v>
      </c>
      <c r="E88" s="210" t="s">
        <v>15</v>
      </c>
      <c r="F88" s="210" t="s">
        <v>8</v>
      </c>
      <c r="G88" s="210"/>
      <c r="H88" s="204" t="s">
        <v>671</v>
      </c>
      <c r="I88" s="204" t="s">
        <v>671</v>
      </c>
    </row>
    <row r="89" spans="2:9" x14ac:dyDescent="0.25">
      <c r="B89" s="205"/>
      <c r="C89" s="220"/>
      <c r="D89" s="183"/>
      <c r="E89" s="205"/>
      <c r="F89" s="205"/>
      <c r="G89" s="205"/>
      <c r="H89" s="206"/>
      <c r="I89" s="205"/>
    </row>
    <row r="90" spans="2:9" x14ac:dyDescent="0.25">
      <c r="B90" s="324" t="s">
        <v>2066</v>
      </c>
      <c r="C90" s="325"/>
      <c r="D90" s="325"/>
      <c r="E90" s="325"/>
      <c r="F90" s="325"/>
      <c r="G90" s="325"/>
      <c r="H90" s="325"/>
      <c r="I90" s="325"/>
    </row>
    <row r="91" spans="2:9" x14ac:dyDescent="0.25">
      <c r="B91" s="326" t="s">
        <v>703</v>
      </c>
      <c r="C91" s="327"/>
      <c r="D91" s="327"/>
      <c r="E91" s="209"/>
      <c r="F91" s="209"/>
      <c r="G91" s="209"/>
      <c r="H91" s="213"/>
      <c r="I91" s="209"/>
    </row>
    <row r="92" spans="2:9" x14ac:dyDescent="0.25">
      <c r="B92" s="326" t="s">
        <v>761</v>
      </c>
      <c r="C92" s="327"/>
      <c r="D92" s="327"/>
      <c r="E92" s="209"/>
      <c r="F92" s="209"/>
      <c r="G92" s="209"/>
      <c r="H92" s="236" t="s">
        <v>2074</v>
      </c>
      <c r="I92" s="236" t="s">
        <v>2075</v>
      </c>
    </row>
    <row r="93" spans="2:9" x14ac:dyDescent="0.25">
      <c r="B93" s="224">
        <v>1</v>
      </c>
      <c r="C93" s="225"/>
      <c r="D93" s="223" t="s">
        <v>2054</v>
      </c>
      <c r="E93" s="226" t="s">
        <v>5</v>
      </c>
      <c r="F93" s="226" t="s">
        <v>19</v>
      </c>
      <c r="G93" s="224" t="s">
        <v>2065</v>
      </c>
      <c r="H93" s="223"/>
      <c r="I93" s="225"/>
    </row>
    <row r="94" spans="2:9" ht="24" x14ac:dyDescent="0.25">
      <c r="B94" s="224">
        <v>2</v>
      </c>
      <c r="C94" s="238" t="s">
        <v>5529</v>
      </c>
      <c r="D94" s="237" t="s">
        <v>2079</v>
      </c>
      <c r="E94" s="226"/>
      <c r="F94" s="226"/>
      <c r="G94" s="240" t="s">
        <v>2077</v>
      </c>
      <c r="H94" s="223"/>
      <c r="I94" s="225"/>
    </row>
    <row r="95" spans="2:9" ht="24" x14ac:dyDescent="0.25">
      <c r="B95" s="202">
        <v>3</v>
      </c>
      <c r="C95" s="200" t="s">
        <v>5530</v>
      </c>
      <c r="D95" s="183" t="s">
        <v>5523</v>
      </c>
      <c r="E95" s="210" t="s">
        <v>5</v>
      </c>
      <c r="F95" s="210" t="s">
        <v>34</v>
      </c>
      <c r="G95" s="210" t="s">
        <v>705</v>
      </c>
      <c r="H95" s="204" t="s">
        <v>706</v>
      </c>
      <c r="I95" s="204" t="s">
        <v>763</v>
      </c>
    </row>
    <row r="96" spans="2:9" ht="24" x14ac:dyDescent="0.25">
      <c r="B96" s="202">
        <v>4</v>
      </c>
      <c r="C96" s="200" t="s">
        <v>5531</v>
      </c>
      <c r="D96" s="183" t="s">
        <v>5524</v>
      </c>
      <c r="E96" s="210" t="s">
        <v>5</v>
      </c>
      <c r="F96" s="210" t="s">
        <v>26</v>
      </c>
      <c r="G96" s="210"/>
      <c r="H96" s="204" t="s">
        <v>722</v>
      </c>
      <c r="I96" s="204" t="s">
        <v>770</v>
      </c>
    </row>
    <row r="97" spans="2:9" ht="36" x14ac:dyDescent="0.25">
      <c r="B97" s="202">
        <v>5</v>
      </c>
      <c r="C97" s="200" t="s">
        <v>5534</v>
      </c>
      <c r="D97" s="183" t="s">
        <v>5525</v>
      </c>
      <c r="E97" s="210" t="s">
        <v>15</v>
      </c>
      <c r="F97" s="210" t="s">
        <v>74</v>
      </c>
      <c r="G97" s="210" t="s">
        <v>754</v>
      </c>
      <c r="H97" s="204" t="s">
        <v>2024</v>
      </c>
      <c r="I97" s="204" t="s">
        <v>2063</v>
      </c>
    </row>
    <row r="98" spans="2:9" ht="36" x14ac:dyDescent="0.25">
      <c r="B98" s="202">
        <v>6</v>
      </c>
      <c r="C98" s="200" t="s">
        <v>5535</v>
      </c>
      <c r="D98" s="183" t="s">
        <v>5526</v>
      </c>
      <c r="E98" s="210" t="s">
        <v>15</v>
      </c>
      <c r="F98" s="210" t="s">
        <v>74</v>
      </c>
      <c r="G98" s="210" t="s">
        <v>754</v>
      </c>
      <c r="H98" s="204" t="s">
        <v>2025</v>
      </c>
      <c r="I98" s="204" t="s">
        <v>2064</v>
      </c>
    </row>
    <row r="99" spans="2:9" ht="24" x14ac:dyDescent="0.25">
      <c r="B99" s="202">
        <v>7</v>
      </c>
      <c r="C99" s="200" t="s">
        <v>5532</v>
      </c>
      <c r="D99" s="183" t="s">
        <v>5527</v>
      </c>
      <c r="E99" s="210" t="s">
        <v>15</v>
      </c>
      <c r="F99" s="210" t="s">
        <v>143</v>
      </c>
      <c r="G99" s="210" t="s">
        <v>144</v>
      </c>
      <c r="H99" s="204" t="s">
        <v>727</v>
      </c>
      <c r="I99" s="204" t="s">
        <v>775</v>
      </c>
    </row>
    <row r="100" spans="2:9" ht="24" x14ac:dyDescent="0.25">
      <c r="B100" s="202">
        <v>8</v>
      </c>
      <c r="C100" s="200" t="s">
        <v>5533</v>
      </c>
      <c r="D100" s="183" t="s">
        <v>5528</v>
      </c>
      <c r="E100" s="210" t="s">
        <v>15</v>
      </c>
      <c r="F100" s="210" t="s">
        <v>29</v>
      </c>
      <c r="G100" s="210" t="s">
        <v>6</v>
      </c>
      <c r="H100" s="204" t="s">
        <v>740</v>
      </c>
      <c r="I100" s="204" t="s">
        <v>779</v>
      </c>
    </row>
    <row r="101" spans="2:9" x14ac:dyDescent="0.25">
      <c r="B101" s="233"/>
      <c r="C101" s="234"/>
      <c r="D101" s="235"/>
      <c r="E101" s="205"/>
      <c r="F101" s="205"/>
      <c r="G101" s="205"/>
      <c r="H101" s="206"/>
      <c r="I101" s="205"/>
    </row>
    <row r="102" spans="2:9" x14ac:dyDescent="0.25">
      <c r="B102" s="324" t="s">
        <v>2069</v>
      </c>
      <c r="C102" s="325"/>
      <c r="D102" s="325"/>
      <c r="E102" s="325"/>
      <c r="F102" s="325"/>
      <c r="G102" s="325"/>
      <c r="H102" s="325"/>
      <c r="I102" s="325"/>
    </row>
    <row r="103" spans="2:9" x14ac:dyDescent="0.25">
      <c r="B103" s="326" t="s">
        <v>793</v>
      </c>
      <c r="C103" s="327"/>
      <c r="D103" s="327"/>
      <c r="E103" s="209"/>
      <c r="F103" s="209"/>
      <c r="G103" s="209"/>
      <c r="H103" s="213"/>
      <c r="I103" s="209"/>
    </row>
    <row r="104" spans="2:9" x14ac:dyDescent="0.25">
      <c r="B104" s="224">
        <v>1</v>
      </c>
      <c r="C104" s="225"/>
      <c r="D104" s="223" t="s">
        <v>2054</v>
      </c>
      <c r="E104" s="226" t="s">
        <v>5</v>
      </c>
      <c r="F104" s="226" t="s">
        <v>19</v>
      </c>
      <c r="G104" s="224" t="s">
        <v>2068</v>
      </c>
      <c r="H104" s="223"/>
      <c r="I104" s="225"/>
    </row>
    <row r="105" spans="2:9" ht="24" x14ac:dyDescent="0.25">
      <c r="B105" s="202">
        <v>2</v>
      </c>
      <c r="C105" s="200" t="s">
        <v>2047</v>
      </c>
      <c r="D105" s="206" t="s">
        <v>2049</v>
      </c>
      <c r="E105" s="210" t="s">
        <v>15</v>
      </c>
      <c r="F105" s="210" t="s">
        <v>19</v>
      </c>
      <c r="G105" s="210" t="s">
        <v>795</v>
      </c>
      <c r="H105" s="204" t="s">
        <v>2026</v>
      </c>
      <c r="I105" s="205"/>
    </row>
    <row r="106" spans="2:9" ht="24" x14ac:dyDescent="0.25">
      <c r="B106" s="202">
        <v>3</v>
      </c>
      <c r="C106" s="200" t="s">
        <v>2048</v>
      </c>
      <c r="D106" s="206" t="s">
        <v>2050</v>
      </c>
      <c r="E106" s="210" t="s">
        <v>15</v>
      </c>
      <c r="F106" s="210" t="s">
        <v>17</v>
      </c>
      <c r="G106" s="210" t="s">
        <v>2046</v>
      </c>
      <c r="H106" s="204" t="s">
        <v>2027</v>
      </c>
      <c r="I106" s="205"/>
    </row>
    <row r="107" spans="2:9" ht="24" x14ac:dyDescent="0.25">
      <c r="B107" s="202">
        <v>4</v>
      </c>
      <c r="C107" s="200" t="s">
        <v>2044</v>
      </c>
      <c r="D107" s="206" t="s">
        <v>824</v>
      </c>
      <c r="E107" s="210" t="s">
        <v>15</v>
      </c>
      <c r="F107" s="210"/>
      <c r="G107" s="210" t="s">
        <v>31</v>
      </c>
      <c r="H107" s="204" t="s">
        <v>825</v>
      </c>
      <c r="I107" s="205"/>
    </row>
    <row r="108" spans="2:9" x14ac:dyDescent="0.25">
      <c r="B108" s="205"/>
      <c r="C108" s="205"/>
      <c r="D108" s="205"/>
      <c r="E108" s="205"/>
      <c r="F108" s="205"/>
      <c r="G108" s="205"/>
      <c r="H108" s="205"/>
      <c r="I108" s="205"/>
    </row>
    <row r="109" spans="2:9" x14ac:dyDescent="0.25">
      <c r="B109" s="324" t="s">
        <v>2060</v>
      </c>
      <c r="C109" s="325"/>
      <c r="D109" s="325"/>
      <c r="E109" s="325"/>
      <c r="F109" s="325"/>
      <c r="G109" s="325"/>
      <c r="H109" s="325"/>
      <c r="I109" s="325"/>
    </row>
    <row r="110" spans="2:9" x14ac:dyDescent="0.25">
      <c r="B110" s="326" t="s">
        <v>828</v>
      </c>
      <c r="C110" s="327"/>
      <c r="D110" s="327"/>
      <c r="E110" s="209"/>
      <c r="F110" s="209"/>
      <c r="G110" s="209"/>
      <c r="H110" s="209"/>
      <c r="I110" s="209"/>
    </row>
    <row r="111" spans="2:9" x14ac:dyDescent="0.25">
      <c r="B111" s="224">
        <v>1</v>
      </c>
      <c r="C111" s="225"/>
      <c r="D111" s="223" t="s">
        <v>2054</v>
      </c>
      <c r="E111" s="226" t="s">
        <v>5</v>
      </c>
      <c r="F111" s="226" t="s">
        <v>19</v>
      </c>
      <c r="G111" s="224" t="s">
        <v>2056</v>
      </c>
      <c r="H111" s="223"/>
      <c r="I111" s="225"/>
    </row>
    <row r="112" spans="2:9" x14ac:dyDescent="0.25">
      <c r="B112" s="202">
        <v>2</v>
      </c>
      <c r="C112" s="204" t="s">
        <v>1962</v>
      </c>
      <c r="D112" s="206" t="s">
        <v>829</v>
      </c>
      <c r="E112" s="212" t="s">
        <v>15</v>
      </c>
      <c r="F112" s="212" t="s">
        <v>831</v>
      </c>
      <c r="G112" s="212"/>
      <c r="H112" s="204" t="s">
        <v>832</v>
      </c>
      <c r="I112" s="205"/>
    </row>
    <row r="113" spans="2:13" x14ac:dyDescent="0.25">
      <c r="B113" s="202">
        <v>3</v>
      </c>
      <c r="C113" s="204" t="s">
        <v>1963</v>
      </c>
      <c r="D113" s="206" t="s">
        <v>838</v>
      </c>
      <c r="E113" s="212" t="s">
        <v>15</v>
      </c>
      <c r="F113" s="212" t="s">
        <v>22</v>
      </c>
      <c r="G113" s="212" t="s">
        <v>23</v>
      </c>
      <c r="H113" s="204" t="s">
        <v>839</v>
      </c>
      <c r="I113" s="205"/>
      <c r="M113" t="s">
        <v>1197</v>
      </c>
    </row>
    <row r="114" spans="2:13" ht="24" x14ac:dyDescent="0.25">
      <c r="B114" s="202">
        <v>4</v>
      </c>
      <c r="C114" s="204" t="s">
        <v>1964</v>
      </c>
      <c r="D114" s="206" t="s">
        <v>846</v>
      </c>
      <c r="E114" s="212" t="s">
        <v>15</v>
      </c>
      <c r="F114" s="212" t="s">
        <v>20</v>
      </c>
      <c r="G114" s="212" t="s">
        <v>847</v>
      </c>
      <c r="H114" s="204" t="s">
        <v>848</v>
      </c>
      <c r="I114" s="205"/>
    </row>
    <row r="115" spans="2:13" x14ac:dyDescent="0.25">
      <c r="B115" s="202">
        <v>5</v>
      </c>
      <c r="C115" s="204" t="s">
        <v>27</v>
      </c>
      <c r="D115" s="206" t="s">
        <v>866</v>
      </c>
      <c r="E115" s="212" t="s">
        <v>15</v>
      </c>
      <c r="F115" s="212" t="s">
        <v>26</v>
      </c>
      <c r="G115" s="212"/>
      <c r="H115" s="204" t="s">
        <v>867</v>
      </c>
      <c r="I115" s="205"/>
    </row>
    <row r="116" spans="2:13" ht="24" x14ac:dyDescent="0.25">
      <c r="B116" s="202">
        <v>6</v>
      </c>
      <c r="C116" s="204" t="s">
        <v>1217</v>
      </c>
      <c r="D116" s="206" t="s">
        <v>872</v>
      </c>
      <c r="E116" s="212" t="s">
        <v>15</v>
      </c>
      <c r="F116" s="212" t="s">
        <v>24</v>
      </c>
      <c r="G116" s="212"/>
      <c r="H116" s="204" t="s">
        <v>873</v>
      </c>
      <c r="I116" s="205"/>
    </row>
    <row r="117" spans="2:13" ht="24" x14ac:dyDescent="0.25">
      <c r="B117" s="202">
        <v>7</v>
      </c>
      <c r="C117" s="204" t="s">
        <v>1965</v>
      </c>
      <c r="D117" s="206" t="s">
        <v>876</v>
      </c>
      <c r="E117" s="212" t="s">
        <v>15</v>
      </c>
      <c r="F117" s="212" t="s">
        <v>877</v>
      </c>
      <c r="G117" s="212" t="s">
        <v>878</v>
      </c>
      <c r="H117" s="208" t="s">
        <v>1971</v>
      </c>
      <c r="I117" s="205"/>
    </row>
    <row r="118" spans="2:13" ht="24" x14ac:dyDescent="0.25">
      <c r="B118" s="202">
        <v>8</v>
      </c>
      <c r="C118" s="204" t="s">
        <v>1966</v>
      </c>
      <c r="D118" s="206" t="s">
        <v>1952</v>
      </c>
      <c r="E118" s="212" t="s">
        <v>15</v>
      </c>
      <c r="F118" s="212" t="s">
        <v>12</v>
      </c>
      <c r="G118" s="212"/>
      <c r="H118" s="204" t="s">
        <v>1951</v>
      </c>
      <c r="I118" s="205"/>
    </row>
    <row r="119" spans="2:13" ht="48" x14ac:dyDescent="0.25">
      <c r="B119" s="202">
        <v>9</v>
      </c>
      <c r="C119" s="204" t="s">
        <v>1967</v>
      </c>
      <c r="D119" s="206" t="s">
        <v>1954</v>
      </c>
      <c r="E119" s="212" t="s">
        <v>15</v>
      </c>
      <c r="F119" s="212"/>
      <c r="G119" s="215" t="s">
        <v>1958</v>
      </c>
      <c r="H119" s="204" t="s">
        <v>1953</v>
      </c>
      <c r="I119" s="205"/>
    </row>
    <row r="120" spans="2:13" ht="24" x14ac:dyDescent="0.25">
      <c r="B120" s="202">
        <v>10</v>
      </c>
      <c r="C120" s="204" t="s">
        <v>1968</v>
      </c>
      <c r="D120" s="206" t="s">
        <v>1949</v>
      </c>
      <c r="E120" s="212" t="s">
        <v>15</v>
      </c>
      <c r="F120" s="212" t="s">
        <v>35</v>
      </c>
      <c r="G120" s="212"/>
      <c r="H120" s="208" t="s">
        <v>1950</v>
      </c>
      <c r="I120" s="205"/>
    </row>
    <row r="121" spans="2:13" ht="24" x14ac:dyDescent="0.25">
      <c r="B121" s="202">
        <v>11</v>
      </c>
      <c r="C121" s="204" t="s">
        <v>1969</v>
      </c>
      <c r="D121" s="206" t="s">
        <v>1956</v>
      </c>
      <c r="E121" s="212" t="s">
        <v>15</v>
      </c>
      <c r="F121" s="212" t="s">
        <v>29</v>
      </c>
      <c r="G121" s="212" t="s">
        <v>910</v>
      </c>
      <c r="H121" s="208" t="s">
        <v>1955</v>
      </c>
      <c r="I121" s="205"/>
    </row>
    <row r="122" spans="2:13" x14ac:dyDescent="0.25">
      <c r="B122" s="333">
        <v>12</v>
      </c>
      <c r="C122" s="328" t="s">
        <v>1970</v>
      </c>
      <c r="D122" s="206" t="s">
        <v>930</v>
      </c>
      <c r="E122" s="321" t="s">
        <v>15</v>
      </c>
      <c r="F122" s="212" t="s">
        <v>1961</v>
      </c>
      <c r="G122" s="216"/>
      <c r="H122" s="318" t="s">
        <v>1957</v>
      </c>
      <c r="I122" s="205"/>
    </row>
    <row r="123" spans="2:13" ht="24" x14ac:dyDescent="0.25">
      <c r="B123" s="334"/>
      <c r="C123" s="329"/>
      <c r="D123" s="206" t="s">
        <v>1568</v>
      </c>
      <c r="E123" s="322"/>
      <c r="F123" s="212" t="s">
        <v>32</v>
      </c>
      <c r="G123" s="212" t="s">
        <v>933</v>
      </c>
      <c r="H123" s="319"/>
      <c r="I123" s="205"/>
    </row>
    <row r="124" spans="2:13" x14ac:dyDescent="0.25">
      <c r="B124" s="334"/>
      <c r="C124" s="329"/>
      <c r="D124" s="206" t="s">
        <v>1960</v>
      </c>
      <c r="E124" s="322"/>
      <c r="F124" s="212" t="s">
        <v>939</v>
      </c>
      <c r="G124" s="212" t="s">
        <v>939</v>
      </c>
      <c r="H124" s="319"/>
      <c r="I124" s="205"/>
    </row>
    <row r="125" spans="2:13" x14ac:dyDescent="0.25">
      <c r="B125" s="335"/>
      <c r="C125" s="330"/>
      <c r="D125" s="206" t="s">
        <v>1959</v>
      </c>
      <c r="E125" s="323"/>
      <c r="F125" s="212" t="s">
        <v>28</v>
      </c>
      <c r="G125" s="215" t="s">
        <v>831</v>
      </c>
      <c r="H125" s="320"/>
      <c r="I125" s="205"/>
    </row>
    <row r="126" spans="2:13" x14ac:dyDescent="0.25">
      <c r="B126" s="205"/>
      <c r="C126" s="205"/>
      <c r="D126" s="205"/>
      <c r="E126" s="205"/>
      <c r="F126" s="205"/>
      <c r="G126" s="205"/>
      <c r="H126" s="205"/>
      <c r="I126" s="205"/>
    </row>
    <row r="127" spans="2:13" x14ac:dyDescent="0.25">
      <c r="B127" s="324" t="s">
        <v>2061</v>
      </c>
      <c r="C127" s="325"/>
      <c r="D127" s="325"/>
      <c r="E127" s="325"/>
      <c r="F127" s="325"/>
      <c r="G127" s="325"/>
      <c r="H127" s="325"/>
      <c r="I127" s="325"/>
    </row>
    <row r="128" spans="2:13" x14ac:dyDescent="0.25">
      <c r="B128" s="326" t="s">
        <v>179</v>
      </c>
      <c r="C128" s="327"/>
      <c r="D128" s="327"/>
      <c r="E128" s="209"/>
      <c r="F128" s="209"/>
      <c r="G128" s="209"/>
      <c r="H128" s="209"/>
      <c r="I128" s="209"/>
    </row>
    <row r="129" spans="2:9" x14ac:dyDescent="0.25">
      <c r="B129" s="224">
        <v>1</v>
      </c>
      <c r="C129" s="225"/>
      <c r="D129" s="223" t="s">
        <v>2054</v>
      </c>
      <c r="E129" s="226" t="s">
        <v>5</v>
      </c>
      <c r="F129" s="226" t="s">
        <v>19</v>
      </c>
      <c r="G129" s="224" t="s">
        <v>2051</v>
      </c>
      <c r="H129" s="223"/>
      <c r="I129" s="225"/>
    </row>
    <row r="130" spans="2:9" ht="24" x14ac:dyDescent="0.25">
      <c r="B130" s="247">
        <v>2</v>
      </c>
      <c r="C130" s="218" t="s">
        <v>1945</v>
      </c>
      <c r="D130" s="206" t="s">
        <v>180</v>
      </c>
      <c r="E130" s="211" t="s">
        <v>15</v>
      </c>
      <c r="F130" s="211" t="s">
        <v>181</v>
      </c>
      <c r="G130" s="211"/>
      <c r="H130" s="208" t="s">
        <v>182</v>
      </c>
      <c r="I130" s="205"/>
    </row>
    <row r="131" spans="2:9" ht="24" x14ac:dyDescent="0.25">
      <c r="B131" s="247">
        <v>3</v>
      </c>
      <c r="C131" s="218" t="s">
        <v>1219</v>
      </c>
      <c r="D131" s="206" t="s">
        <v>189</v>
      </c>
      <c r="E131" s="211" t="s">
        <v>15</v>
      </c>
      <c r="F131" s="211" t="s">
        <v>30</v>
      </c>
      <c r="G131" s="211" t="s">
        <v>190</v>
      </c>
      <c r="H131" s="208" t="s">
        <v>191</v>
      </c>
      <c r="I131" s="205"/>
    </row>
    <row r="132" spans="2:9" x14ac:dyDescent="0.25">
      <c r="B132" s="247">
        <v>4</v>
      </c>
      <c r="C132" s="218" t="s">
        <v>1218</v>
      </c>
      <c r="D132" s="206" t="s">
        <v>208</v>
      </c>
      <c r="E132" s="211" t="s">
        <v>15</v>
      </c>
      <c r="F132" s="211" t="s">
        <v>35</v>
      </c>
      <c r="G132" s="211"/>
      <c r="H132" s="208" t="s">
        <v>209</v>
      </c>
      <c r="I132" s="205"/>
    </row>
    <row r="133" spans="2:9" ht="24" x14ac:dyDescent="0.25">
      <c r="B133" s="247">
        <v>5</v>
      </c>
      <c r="C133" s="218" t="s">
        <v>1946</v>
      </c>
      <c r="D133" s="214" t="s">
        <v>1228</v>
      </c>
      <c r="E133" s="211" t="s">
        <v>15</v>
      </c>
      <c r="F133" s="211" t="s">
        <v>143</v>
      </c>
      <c r="G133" s="211" t="s">
        <v>144</v>
      </c>
      <c r="H133" s="208" t="s">
        <v>1226</v>
      </c>
      <c r="I133" s="205"/>
    </row>
    <row r="134" spans="2:9" ht="24" x14ac:dyDescent="0.25">
      <c r="B134" s="247">
        <v>6</v>
      </c>
      <c r="C134" s="218" t="s">
        <v>1947</v>
      </c>
      <c r="D134" s="214" t="s">
        <v>1229</v>
      </c>
      <c r="E134" s="211" t="s">
        <v>15</v>
      </c>
      <c r="F134" s="211" t="s">
        <v>17</v>
      </c>
      <c r="G134" s="211" t="s">
        <v>266</v>
      </c>
      <c r="H134" s="208" t="s">
        <v>1227</v>
      </c>
      <c r="I134" s="205"/>
    </row>
    <row r="135" spans="2:9" x14ac:dyDescent="0.25">
      <c r="B135" s="216"/>
      <c r="C135" s="216"/>
      <c r="D135" s="216"/>
      <c r="E135" s="216"/>
      <c r="F135" s="216"/>
      <c r="G135" s="216"/>
      <c r="H135" s="216"/>
      <c r="I135" s="216"/>
    </row>
  </sheetData>
  <mergeCells count="30">
    <mergeCell ref="B6:I6"/>
    <mergeCell ref="B59:I59"/>
    <mergeCell ref="B90:I90"/>
    <mergeCell ref="B79:I79"/>
    <mergeCell ref="B69:I69"/>
    <mergeCell ref="B81:D81"/>
    <mergeCell ref="B24:D24"/>
    <mergeCell ref="B128:D128"/>
    <mergeCell ref="B7:D7"/>
    <mergeCell ref="B28:D28"/>
    <mergeCell ref="B60:D60"/>
    <mergeCell ref="B70:D70"/>
    <mergeCell ref="B80:D80"/>
    <mergeCell ref="B91:D91"/>
    <mergeCell ref="B103:D103"/>
    <mergeCell ref="C122:C125"/>
    <mergeCell ref="B102:I102"/>
    <mergeCell ref="F7:G7"/>
    <mergeCell ref="B14:D14"/>
    <mergeCell ref="B20:D20"/>
    <mergeCell ref="B109:I109"/>
    <mergeCell ref="B127:I127"/>
    <mergeCell ref="B122:B125"/>
    <mergeCell ref="H122:H125"/>
    <mergeCell ref="E122:E125"/>
    <mergeCell ref="B33:I33"/>
    <mergeCell ref="B34:D34"/>
    <mergeCell ref="B110:D110"/>
    <mergeCell ref="B92:D92"/>
    <mergeCell ref="B71:D71"/>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3"/>
  <sheetViews>
    <sheetView topLeftCell="A31" workbookViewId="0">
      <selection activeCell="B42" sqref="B42"/>
    </sheetView>
  </sheetViews>
  <sheetFormatPr defaultRowHeight="15" x14ac:dyDescent="0.25"/>
  <cols>
    <col min="2" max="2" width="21" customWidth="1"/>
    <col min="3" max="4" width="18.7109375" customWidth="1"/>
    <col min="5" max="5" width="18.5703125" customWidth="1"/>
    <col min="6" max="6" width="18" customWidth="1"/>
    <col min="7" max="7" width="22.5703125" customWidth="1"/>
    <col min="8" max="8" width="17.7109375" customWidth="1"/>
    <col min="9" max="9" width="13" customWidth="1"/>
    <col min="10" max="10" width="14.5703125" customWidth="1"/>
    <col min="11" max="11" width="14.85546875" customWidth="1"/>
    <col min="12" max="12" width="12.5703125" customWidth="1"/>
    <col min="13" max="13" width="11.7109375" customWidth="1"/>
    <col min="14" max="14" width="15.28515625" customWidth="1"/>
    <col min="15" max="15" width="16.42578125" customWidth="1"/>
    <col min="16" max="16" width="18.85546875" customWidth="1"/>
    <col min="17" max="17" width="18.28515625" customWidth="1"/>
    <col min="18" max="18" width="16.28515625" customWidth="1"/>
    <col min="19" max="19" width="19.140625" customWidth="1"/>
    <col min="20" max="20" width="14.7109375" customWidth="1"/>
    <col min="21" max="21" width="13.85546875" customWidth="1"/>
    <col min="22" max="22" width="13.42578125" customWidth="1"/>
    <col min="23" max="23" width="13" customWidth="1"/>
  </cols>
  <sheetData>
    <row r="1" spans="1:23" x14ac:dyDescent="0.25">
      <c r="A1" s="224">
        <v>1</v>
      </c>
      <c r="B1" s="202">
        <v>2</v>
      </c>
      <c r="C1" s="202">
        <v>3</v>
      </c>
      <c r="D1" s="202">
        <v>4</v>
      </c>
      <c r="E1" s="202">
        <v>5</v>
      </c>
      <c r="F1" s="202">
        <v>6</v>
      </c>
      <c r="G1" s="202">
        <v>7</v>
      </c>
      <c r="H1" s="202">
        <v>8</v>
      </c>
      <c r="I1" s="202">
        <v>9</v>
      </c>
      <c r="J1" s="202">
        <v>10</v>
      </c>
      <c r="K1" s="202">
        <v>11</v>
      </c>
      <c r="L1" s="202">
        <v>12</v>
      </c>
      <c r="M1" s="202">
        <v>13</v>
      </c>
      <c r="N1" s="202">
        <v>14</v>
      </c>
      <c r="O1" s="202">
        <v>15</v>
      </c>
      <c r="P1" s="202">
        <v>16</v>
      </c>
      <c r="Q1" s="202">
        <v>17</v>
      </c>
      <c r="R1" s="202">
        <v>18</v>
      </c>
      <c r="S1" s="202">
        <v>19</v>
      </c>
      <c r="T1" s="202">
        <v>20</v>
      </c>
    </row>
    <row r="2" spans="1:23" ht="27" customHeight="1" x14ac:dyDescent="0.25">
      <c r="A2" s="225"/>
      <c r="B2" s="264" t="s">
        <v>43</v>
      </c>
      <c r="C2" s="264" t="s">
        <v>10</v>
      </c>
      <c r="D2" s="264" t="s">
        <v>14</v>
      </c>
      <c r="E2" s="264" t="s">
        <v>44</v>
      </c>
      <c r="F2" s="264" t="s">
        <v>1198</v>
      </c>
      <c r="G2" s="264" t="s">
        <v>1201</v>
      </c>
      <c r="H2" s="264" t="s">
        <v>1199</v>
      </c>
      <c r="I2" s="264" t="s">
        <v>1200</v>
      </c>
      <c r="J2" s="264" t="s">
        <v>1224</v>
      </c>
      <c r="K2" s="264" t="s">
        <v>1225</v>
      </c>
      <c r="L2" s="264" t="s">
        <v>1202</v>
      </c>
      <c r="M2" s="264" t="s">
        <v>1203</v>
      </c>
      <c r="N2" s="264" t="s">
        <v>1204</v>
      </c>
      <c r="O2" s="264" t="s">
        <v>1202</v>
      </c>
      <c r="P2" s="264" t="s">
        <v>1203</v>
      </c>
      <c r="Q2" s="264" t="s">
        <v>1204</v>
      </c>
      <c r="R2" s="264" t="s">
        <v>1202</v>
      </c>
      <c r="S2" s="264" t="s">
        <v>1203</v>
      </c>
      <c r="T2" s="264" t="s">
        <v>1204</v>
      </c>
    </row>
    <row r="3" spans="1:23" x14ac:dyDescent="0.25">
      <c r="A3" t="s">
        <v>2053</v>
      </c>
    </row>
    <row r="6" spans="1:23" x14ac:dyDescent="0.25">
      <c r="A6" s="224">
        <v>1</v>
      </c>
      <c r="B6" s="202">
        <v>2</v>
      </c>
      <c r="C6" s="202">
        <v>3</v>
      </c>
      <c r="D6" s="202">
        <v>4</v>
      </c>
      <c r="E6" s="202">
        <v>5</v>
      </c>
      <c r="F6" s="202">
        <v>6</v>
      </c>
      <c r="G6" s="202">
        <v>7</v>
      </c>
      <c r="H6" s="202">
        <v>8</v>
      </c>
      <c r="I6" s="202">
        <v>9</v>
      </c>
      <c r="J6" s="202">
        <v>10</v>
      </c>
      <c r="K6" s="202">
        <v>11</v>
      </c>
      <c r="L6" s="202">
        <v>12</v>
      </c>
      <c r="M6" s="202">
        <v>13</v>
      </c>
      <c r="N6" s="202">
        <v>14</v>
      </c>
      <c r="O6" s="202">
        <v>15</v>
      </c>
      <c r="P6" s="202">
        <v>16</v>
      </c>
      <c r="Q6" s="202">
        <v>17</v>
      </c>
      <c r="R6" s="202">
        <v>18</v>
      </c>
      <c r="S6" s="202">
        <v>19</v>
      </c>
      <c r="T6" s="202">
        <v>20</v>
      </c>
      <c r="U6" s="202">
        <v>21</v>
      </c>
      <c r="V6" s="202">
        <v>22</v>
      </c>
      <c r="W6" s="202">
        <v>23</v>
      </c>
    </row>
    <row r="7" spans="1:23" ht="24" x14ac:dyDescent="0.25">
      <c r="A7" s="225"/>
      <c r="B7" s="264" t="s">
        <v>1205</v>
      </c>
      <c r="C7" s="264" t="s">
        <v>1206</v>
      </c>
      <c r="D7" s="264" t="s">
        <v>1208</v>
      </c>
      <c r="E7" s="264" t="s">
        <v>1207</v>
      </c>
      <c r="F7" s="264" t="s">
        <v>1983</v>
      </c>
      <c r="G7" s="264" t="s">
        <v>1984</v>
      </c>
      <c r="H7" s="264" t="s">
        <v>1207</v>
      </c>
      <c r="I7" s="264" t="s">
        <v>1209</v>
      </c>
      <c r="J7" s="264" t="s">
        <v>1985</v>
      </c>
      <c r="K7" s="264" t="s">
        <v>1987</v>
      </c>
      <c r="L7" s="264" t="s">
        <v>1986</v>
      </c>
      <c r="M7" s="264" t="s">
        <v>1988</v>
      </c>
      <c r="N7" s="264" t="s">
        <v>1210</v>
      </c>
      <c r="O7" s="264" t="s">
        <v>1211</v>
      </c>
      <c r="P7" s="264" t="s">
        <v>1995</v>
      </c>
      <c r="Q7" s="264" t="s">
        <v>1991</v>
      </c>
      <c r="R7" s="264" t="s">
        <v>1992</v>
      </c>
      <c r="S7" s="264" t="s">
        <v>2115</v>
      </c>
      <c r="T7" s="264" t="s">
        <v>1993</v>
      </c>
      <c r="U7" s="264" t="s">
        <v>1996</v>
      </c>
      <c r="V7" s="264" t="s">
        <v>1994</v>
      </c>
      <c r="W7" s="264" t="s">
        <v>2045</v>
      </c>
    </row>
    <row r="8" spans="1:23" x14ac:dyDescent="0.25">
      <c r="A8" t="s">
        <v>2062</v>
      </c>
    </row>
    <row r="11" spans="1:23" x14ac:dyDescent="0.25">
      <c r="A11" s="224">
        <v>1</v>
      </c>
      <c r="B11" s="202">
        <v>2</v>
      </c>
      <c r="C11" s="202">
        <v>3</v>
      </c>
      <c r="D11" s="202">
        <v>4</v>
      </c>
      <c r="E11" s="202">
        <v>5</v>
      </c>
      <c r="F11" s="202">
        <v>6</v>
      </c>
      <c r="G11" s="202">
        <v>7</v>
      </c>
    </row>
    <row r="12" spans="1:23" ht="24" x14ac:dyDescent="0.25">
      <c r="A12" s="225"/>
      <c r="B12" s="264" t="s">
        <v>1212</v>
      </c>
      <c r="C12" s="264" t="s">
        <v>1213</v>
      </c>
      <c r="D12" s="264" t="s">
        <v>1214</v>
      </c>
      <c r="E12" s="264" t="s">
        <v>2039</v>
      </c>
      <c r="F12" s="264" t="s">
        <v>2040</v>
      </c>
      <c r="G12" s="264" t="s">
        <v>2041</v>
      </c>
    </row>
    <row r="13" spans="1:23" x14ac:dyDescent="0.25">
      <c r="A13" t="s">
        <v>2103</v>
      </c>
    </row>
    <row r="16" spans="1:23" x14ac:dyDescent="0.25">
      <c r="A16" s="224">
        <v>1</v>
      </c>
      <c r="B16" s="224">
        <v>2</v>
      </c>
      <c r="C16" s="202">
        <v>3</v>
      </c>
      <c r="D16" s="202">
        <v>4</v>
      </c>
      <c r="E16" s="202">
        <v>5</v>
      </c>
      <c r="F16" s="202">
        <v>6</v>
      </c>
    </row>
    <row r="17" spans="1:8" ht="24" x14ac:dyDescent="0.25">
      <c r="A17" s="225"/>
      <c r="B17" s="239" t="s">
        <v>2078</v>
      </c>
      <c r="C17" s="263" t="s">
        <v>2037</v>
      </c>
      <c r="D17" s="263" t="s">
        <v>2042</v>
      </c>
      <c r="E17" s="263" t="s">
        <v>2043</v>
      </c>
      <c r="F17" s="263" t="s">
        <v>2038</v>
      </c>
    </row>
    <row r="18" spans="1:8" x14ac:dyDescent="0.25">
      <c r="A18" t="s">
        <v>2070</v>
      </c>
      <c r="B18" t="s">
        <v>2023</v>
      </c>
    </row>
    <row r="19" spans="1:8" x14ac:dyDescent="0.25">
      <c r="A19" t="s">
        <v>2070</v>
      </c>
      <c r="B19" t="s">
        <v>2022</v>
      </c>
    </row>
    <row r="21" spans="1:8" x14ac:dyDescent="0.25">
      <c r="A21" s="224">
        <v>1</v>
      </c>
      <c r="B21" s="202">
        <v>2</v>
      </c>
      <c r="C21" s="202">
        <v>3</v>
      </c>
      <c r="D21" s="202">
        <v>4</v>
      </c>
      <c r="E21" s="202">
        <v>5</v>
      </c>
      <c r="F21" s="202">
        <v>6</v>
      </c>
      <c r="G21" s="202">
        <v>7</v>
      </c>
    </row>
    <row r="22" spans="1:8" ht="24" x14ac:dyDescent="0.25">
      <c r="A22" s="225"/>
      <c r="B22" s="263" t="s">
        <v>2073</v>
      </c>
      <c r="C22" s="263" t="s">
        <v>2036</v>
      </c>
      <c r="D22" s="263" t="s">
        <v>2032</v>
      </c>
      <c r="E22" s="263" t="s">
        <v>2033</v>
      </c>
      <c r="F22" s="263" t="s">
        <v>2034</v>
      </c>
      <c r="G22" s="263" t="s">
        <v>2035</v>
      </c>
    </row>
    <row r="23" spans="1:8" x14ac:dyDescent="0.25">
      <c r="A23" t="s">
        <v>1623</v>
      </c>
      <c r="B23" t="s">
        <v>2023</v>
      </c>
    </row>
    <row r="24" spans="1:8" x14ac:dyDescent="0.25">
      <c r="A24" t="s">
        <v>1623</v>
      </c>
      <c r="B24" t="s">
        <v>2022</v>
      </c>
    </row>
    <row r="26" spans="1:8" x14ac:dyDescent="0.25">
      <c r="A26" s="224">
        <v>1</v>
      </c>
      <c r="B26" s="224">
        <v>2</v>
      </c>
      <c r="C26" s="202">
        <v>3</v>
      </c>
      <c r="D26" s="202">
        <v>4</v>
      </c>
      <c r="E26" s="202">
        <v>5</v>
      </c>
      <c r="F26" s="202">
        <v>6</v>
      </c>
      <c r="G26" s="202">
        <v>7</v>
      </c>
      <c r="H26" s="202">
        <v>8</v>
      </c>
    </row>
    <row r="27" spans="1:8" ht="24" x14ac:dyDescent="0.25">
      <c r="A27" s="225"/>
      <c r="B27" s="238" t="s">
        <v>2076</v>
      </c>
      <c r="C27" s="263" t="s">
        <v>1215</v>
      </c>
      <c r="D27" s="263" t="s">
        <v>1216</v>
      </c>
      <c r="E27" s="263" t="s">
        <v>2030</v>
      </c>
      <c r="F27" s="263" t="s">
        <v>2031</v>
      </c>
      <c r="G27" s="263" t="s">
        <v>2028</v>
      </c>
      <c r="H27" s="263" t="s">
        <v>2029</v>
      </c>
    </row>
    <row r="28" spans="1:8" x14ac:dyDescent="0.25">
      <c r="A28" t="s">
        <v>2065</v>
      </c>
      <c r="B28" t="s">
        <v>2074</v>
      </c>
    </row>
    <row r="29" spans="1:8" x14ac:dyDescent="0.25">
      <c r="A29" t="s">
        <v>2065</v>
      </c>
      <c r="B29" t="s">
        <v>2075</v>
      </c>
    </row>
    <row r="31" spans="1:8" x14ac:dyDescent="0.25">
      <c r="A31" s="224">
        <v>1</v>
      </c>
      <c r="B31" s="202">
        <v>2</v>
      </c>
      <c r="C31" s="202">
        <v>3</v>
      </c>
      <c r="D31" s="202">
        <v>4</v>
      </c>
    </row>
    <row r="32" spans="1:8" ht="24" x14ac:dyDescent="0.25">
      <c r="A32" s="225"/>
      <c r="B32" s="263" t="s">
        <v>2047</v>
      </c>
      <c r="C32" s="263" t="s">
        <v>2048</v>
      </c>
      <c r="D32" s="263" t="s">
        <v>2044</v>
      </c>
    </row>
    <row r="33" spans="1:12" x14ac:dyDescent="0.25">
      <c r="A33" t="s">
        <v>2068</v>
      </c>
    </row>
    <row r="36" spans="1:12" x14ac:dyDescent="0.25">
      <c r="A36" s="224">
        <v>1</v>
      </c>
      <c r="B36" s="202">
        <v>2</v>
      </c>
      <c r="C36" s="202">
        <v>3</v>
      </c>
      <c r="D36" s="202">
        <v>4</v>
      </c>
      <c r="E36" s="202">
        <v>5</v>
      </c>
      <c r="F36" s="202">
        <v>6</v>
      </c>
      <c r="G36" s="202">
        <v>7</v>
      </c>
      <c r="H36" s="202">
        <v>8</v>
      </c>
      <c r="I36" s="202">
        <v>9</v>
      </c>
      <c r="J36" s="202">
        <v>10</v>
      </c>
      <c r="K36" s="202">
        <v>11</v>
      </c>
      <c r="L36" s="202">
        <v>12</v>
      </c>
    </row>
    <row r="37" spans="1:12" ht="24" x14ac:dyDescent="0.25">
      <c r="A37" s="225"/>
      <c r="B37" s="204" t="s">
        <v>1962</v>
      </c>
      <c r="C37" s="204" t="s">
        <v>1963</v>
      </c>
      <c r="D37" s="204" t="s">
        <v>1964</v>
      </c>
      <c r="E37" s="204" t="s">
        <v>27</v>
      </c>
      <c r="F37" s="204" t="s">
        <v>1217</v>
      </c>
      <c r="G37" s="204" t="s">
        <v>1965</v>
      </c>
      <c r="H37" s="204" t="s">
        <v>1966</v>
      </c>
      <c r="I37" s="204" t="s">
        <v>1967</v>
      </c>
      <c r="J37" s="204" t="s">
        <v>1968</v>
      </c>
      <c r="K37" s="204" t="s">
        <v>1969</v>
      </c>
      <c r="L37" s="204" t="s">
        <v>1970</v>
      </c>
    </row>
    <row r="38" spans="1:12" x14ac:dyDescent="0.25">
      <c r="A38" t="s">
        <v>2056</v>
      </c>
    </row>
    <row r="41" spans="1:12" x14ac:dyDescent="0.25">
      <c r="A41" s="224">
        <v>1</v>
      </c>
      <c r="B41" s="202">
        <v>2</v>
      </c>
      <c r="C41" s="202">
        <v>3</v>
      </c>
      <c r="D41" s="202">
        <v>4</v>
      </c>
      <c r="E41" s="202">
        <v>5</v>
      </c>
      <c r="F41" s="202">
        <v>6</v>
      </c>
    </row>
    <row r="42" spans="1:12" x14ac:dyDescent="0.25">
      <c r="A42" s="225"/>
      <c r="B42" s="218" t="s">
        <v>1945</v>
      </c>
      <c r="C42" s="218" t="s">
        <v>1219</v>
      </c>
      <c r="D42" s="218" t="s">
        <v>1218</v>
      </c>
      <c r="E42" s="218" t="s">
        <v>1946</v>
      </c>
      <c r="F42" s="218" t="s">
        <v>1947</v>
      </c>
    </row>
    <row r="43" spans="1:12" x14ac:dyDescent="0.25">
      <c r="A43" t="s">
        <v>2051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3"/>
  <sheetViews>
    <sheetView topLeftCell="A148" zoomScale="80" zoomScaleNormal="80" workbookViewId="0">
      <selection activeCell="G43" sqref="G43:G45"/>
    </sheetView>
  </sheetViews>
  <sheetFormatPr defaultColWidth="0" defaultRowHeight="12" x14ac:dyDescent="0.25"/>
  <cols>
    <col min="1" max="1" width="1.42578125" style="72" customWidth="1"/>
    <col min="2" max="2" width="4.5703125" style="82" customWidth="1"/>
    <col min="3" max="3" width="28.5703125" style="78" customWidth="1"/>
    <col min="4" max="4" width="8.140625" style="82" customWidth="1"/>
    <col min="5" max="5" width="13.28515625" style="79" customWidth="1"/>
    <col min="6" max="6" width="8.85546875" style="77" customWidth="1"/>
    <col min="7" max="7" width="15.42578125" style="85" customWidth="1"/>
    <col min="8" max="8" width="36.5703125" style="78" customWidth="1"/>
    <col min="9" max="9" width="63.5703125" style="78" customWidth="1"/>
    <col min="10" max="10" width="8.5703125" style="79" customWidth="1"/>
    <col min="11" max="11" width="8" style="80" customWidth="1"/>
    <col min="12" max="12" width="63.42578125" style="78" customWidth="1"/>
    <col min="13" max="13" width="10.85546875" style="82" hidden="1" customWidth="1"/>
    <col min="14" max="14" width="12.5703125" style="70" hidden="1" customWidth="1"/>
    <col min="15" max="15" width="2.5703125" style="82" customWidth="1"/>
    <col min="16" max="17" width="11.42578125" style="82" hidden="1" customWidth="1"/>
    <col min="18" max="16384" width="0" style="82" hidden="1"/>
  </cols>
  <sheetData>
    <row r="1" spans="1:15" x14ac:dyDescent="0.25">
      <c r="B1" s="73" t="s">
        <v>958</v>
      </c>
      <c r="C1" s="74"/>
      <c r="D1" s="75"/>
      <c r="E1" s="75"/>
      <c r="F1" s="76"/>
      <c r="G1" s="77"/>
      <c r="M1" s="79"/>
      <c r="O1" s="81"/>
    </row>
    <row r="2" spans="1:15" s="85" customFormat="1" ht="36" x14ac:dyDescent="0.25">
      <c r="A2" s="72"/>
      <c r="B2" s="14" t="s">
        <v>0</v>
      </c>
      <c r="C2" s="83" t="s">
        <v>1</v>
      </c>
      <c r="D2" s="14" t="s">
        <v>48</v>
      </c>
      <c r="E2" s="14" t="s">
        <v>49</v>
      </c>
      <c r="F2" s="14" t="s">
        <v>50</v>
      </c>
      <c r="G2" s="14" t="s">
        <v>2</v>
      </c>
      <c r="H2" s="14" t="s">
        <v>51</v>
      </c>
      <c r="I2" s="14" t="s">
        <v>52</v>
      </c>
      <c r="J2" s="14" t="s">
        <v>959</v>
      </c>
      <c r="K2" s="15" t="s">
        <v>54</v>
      </c>
      <c r="L2" s="14" t="s">
        <v>55</v>
      </c>
      <c r="M2" s="14" t="s">
        <v>56</v>
      </c>
      <c r="N2" s="14" t="s">
        <v>57</v>
      </c>
      <c r="O2" s="84"/>
    </row>
    <row r="3" spans="1:15" x14ac:dyDescent="0.25">
      <c r="B3" s="86" t="s">
        <v>58</v>
      </c>
      <c r="C3" s="87" t="s">
        <v>58</v>
      </c>
      <c r="D3" s="86"/>
      <c r="E3" s="88"/>
      <c r="F3" s="86"/>
      <c r="G3" s="86"/>
      <c r="H3" s="87"/>
      <c r="I3" s="89"/>
      <c r="J3" s="90"/>
      <c r="K3" s="90"/>
      <c r="L3" s="89"/>
      <c r="M3" s="86"/>
      <c r="N3" s="91"/>
      <c r="O3" s="81"/>
    </row>
    <row r="4" spans="1:15" x14ac:dyDescent="0.25">
      <c r="B4" s="336" t="s">
        <v>59</v>
      </c>
      <c r="C4" s="336"/>
      <c r="D4" s="336"/>
      <c r="E4" s="336"/>
      <c r="F4" s="336"/>
      <c r="G4" s="336"/>
      <c r="H4" s="336"/>
      <c r="I4" s="336"/>
      <c r="J4" s="336"/>
      <c r="K4" s="336"/>
      <c r="L4" s="336"/>
      <c r="M4" s="336"/>
      <c r="N4" s="336"/>
      <c r="O4" s="81"/>
    </row>
    <row r="5" spans="1:15" x14ac:dyDescent="0.25">
      <c r="B5" s="268">
        <v>1</v>
      </c>
      <c r="C5" s="317" t="s">
        <v>960</v>
      </c>
      <c r="D5" s="294" t="s">
        <v>61</v>
      </c>
      <c r="E5" s="294" t="s">
        <v>5</v>
      </c>
      <c r="F5" s="294" t="s">
        <v>20</v>
      </c>
      <c r="G5" s="337" t="s">
        <v>62</v>
      </c>
      <c r="H5" s="317" t="s">
        <v>63</v>
      </c>
      <c r="I5" s="44" t="s">
        <v>64</v>
      </c>
      <c r="J5" s="34" t="s">
        <v>65</v>
      </c>
      <c r="K5" s="35" t="s">
        <v>66</v>
      </c>
      <c r="L5" s="44" t="str">
        <f>VLOOKUP(K5,[1]CódigosRetorno!$A$2:$B$1996,2,FALSE)</f>
        <v>El XML no contiene el tag o no existe informacion de UBLVersionID</v>
      </c>
      <c r="M5" s="34" t="s">
        <v>67</v>
      </c>
      <c r="N5" s="28"/>
      <c r="O5" s="81"/>
    </row>
    <row r="6" spans="1:15" x14ac:dyDescent="0.25">
      <c r="B6" s="268"/>
      <c r="C6" s="317"/>
      <c r="D6" s="294"/>
      <c r="E6" s="294"/>
      <c r="F6" s="294"/>
      <c r="G6" s="337"/>
      <c r="H6" s="317"/>
      <c r="I6" s="44" t="s">
        <v>961</v>
      </c>
      <c r="J6" s="34" t="s">
        <v>65</v>
      </c>
      <c r="K6" s="35" t="s">
        <v>69</v>
      </c>
      <c r="L6" s="44" t="str">
        <f>VLOOKUP(K6,[1]CódigosRetorno!$A$2:$B$1996,2,FALSE)</f>
        <v>UBLVersionID - La versión del UBL no es correcta</v>
      </c>
      <c r="M6" s="34" t="s">
        <v>67</v>
      </c>
      <c r="N6" s="28"/>
      <c r="O6" s="81"/>
    </row>
    <row r="7" spans="1:15" x14ac:dyDescent="0.25">
      <c r="B7" s="268">
        <v>2</v>
      </c>
      <c r="C7" s="317" t="s">
        <v>962</v>
      </c>
      <c r="D7" s="294" t="s">
        <v>61</v>
      </c>
      <c r="E7" s="294" t="s">
        <v>5</v>
      </c>
      <c r="F7" s="294" t="s">
        <v>20</v>
      </c>
      <c r="G7" s="337" t="s">
        <v>21</v>
      </c>
      <c r="H7" s="317" t="s">
        <v>70</v>
      </c>
      <c r="I7" s="44" t="s">
        <v>64</v>
      </c>
      <c r="J7" s="34" t="s">
        <v>65</v>
      </c>
      <c r="K7" s="35" t="s">
        <v>71</v>
      </c>
      <c r="L7" s="44" t="str">
        <f>VLOOKUP(K7,[1]CódigosRetorno!$A$2:$B$1996,2,FALSE)</f>
        <v>El XML no contiene el tag o no existe informacion de CustomizationID</v>
      </c>
      <c r="M7" s="34" t="s">
        <v>67</v>
      </c>
      <c r="N7" s="28"/>
      <c r="O7" s="81"/>
    </row>
    <row r="8" spans="1:15" x14ac:dyDescent="0.25">
      <c r="B8" s="268"/>
      <c r="C8" s="317"/>
      <c r="D8" s="294"/>
      <c r="E8" s="294"/>
      <c r="F8" s="294"/>
      <c r="G8" s="337"/>
      <c r="H8" s="317"/>
      <c r="I8" s="44" t="s">
        <v>963</v>
      </c>
      <c r="J8" s="34" t="s">
        <v>65</v>
      </c>
      <c r="K8" s="35" t="s">
        <v>73</v>
      </c>
      <c r="L8" s="44" t="str">
        <f>VLOOKUP(K8,[1]CódigosRetorno!$A$2:$B$1996,2,FALSE)</f>
        <v>CustomizationID - La version del documento no es correcta</v>
      </c>
      <c r="M8" s="34" t="s">
        <v>67</v>
      </c>
      <c r="N8" s="28"/>
      <c r="O8" s="81"/>
    </row>
    <row r="9" spans="1:15" ht="24" customHeight="1" x14ac:dyDescent="0.25">
      <c r="B9" s="268">
        <v>3</v>
      </c>
      <c r="C9" s="265" t="s">
        <v>46</v>
      </c>
      <c r="D9" s="294" t="s">
        <v>61</v>
      </c>
      <c r="E9" s="294" t="s">
        <v>5</v>
      </c>
      <c r="F9" s="294" t="s">
        <v>74</v>
      </c>
      <c r="G9" s="294" t="s">
        <v>964</v>
      </c>
      <c r="H9" s="317" t="s">
        <v>76</v>
      </c>
      <c r="I9" s="29" t="s">
        <v>965</v>
      </c>
      <c r="J9" s="5" t="s">
        <v>65</v>
      </c>
      <c r="K9" s="41" t="s">
        <v>78</v>
      </c>
      <c r="L9" s="44" t="str">
        <f>VLOOKUP(K9,[1]CódigosRetorno!$A$2:$B$1996,2,FALSE)</f>
        <v>ID - El dato SERIE-CORRELATIVO no cumple con el formato de acuerdo al tipo de comprobante</v>
      </c>
      <c r="M9" s="28" t="s">
        <v>67</v>
      </c>
      <c r="N9" s="28"/>
      <c r="O9" s="81"/>
    </row>
    <row r="10" spans="1:15" ht="24" x14ac:dyDescent="0.25">
      <c r="B10" s="268"/>
      <c r="C10" s="265"/>
      <c r="D10" s="294"/>
      <c r="E10" s="294"/>
      <c r="F10" s="294"/>
      <c r="G10" s="294"/>
      <c r="H10" s="317"/>
      <c r="I10" s="29" t="s">
        <v>79</v>
      </c>
      <c r="J10" s="3" t="s">
        <v>65</v>
      </c>
      <c r="K10" s="3" t="s">
        <v>80</v>
      </c>
      <c r="L10" s="44" t="str">
        <f>VLOOKUP(K10,[1]CódigosRetorno!$A$2:$B$1996,2,FALSE)</f>
        <v>Numero de Serie del nombre del archivo no coincide con el consignado en el contenido del archivo XML</v>
      </c>
      <c r="M10" s="28" t="s">
        <v>67</v>
      </c>
      <c r="N10" s="28"/>
      <c r="O10" s="81"/>
    </row>
    <row r="11" spans="1:15" ht="24" x14ac:dyDescent="0.25">
      <c r="B11" s="268"/>
      <c r="C11" s="265"/>
      <c r="D11" s="294"/>
      <c r="E11" s="294"/>
      <c r="F11" s="294"/>
      <c r="G11" s="294"/>
      <c r="H11" s="317"/>
      <c r="I11" s="29" t="s">
        <v>81</v>
      </c>
      <c r="J11" s="3" t="s">
        <v>65</v>
      </c>
      <c r="K11" s="3" t="s">
        <v>82</v>
      </c>
      <c r="L11" s="44" t="str">
        <f>VLOOKUP(K11,[1]CódigosRetorno!$A$2:$B$1996,2,FALSE)</f>
        <v>Número de documento en el nombre del archivo no coincide con el consignado en el contenido del XML</v>
      </c>
      <c r="M11" s="28" t="s">
        <v>67</v>
      </c>
      <c r="N11" s="28"/>
      <c r="O11" s="81"/>
    </row>
    <row r="12" spans="1:15" ht="36" x14ac:dyDescent="0.25">
      <c r="B12" s="268"/>
      <c r="C12" s="265"/>
      <c r="D12" s="294"/>
      <c r="E12" s="294"/>
      <c r="F12" s="294"/>
      <c r="G12" s="294"/>
      <c r="H12" s="317"/>
      <c r="I12" s="29" t="s">
        <v>966</v>
      </c>
      <c r="J12" s="3" t="s">
        <v>65</v>
      </c>
      <c r="K12" s="3" t="s">
        <v>84</v>
      </c>
      <c r="L12" s="44" t="str">
        <f>VLOOKUP(K12,[1]CódigosRetorno!$A$2:$B$1996,2,FALSE)</f>
        <v>El comprobante fue registrado previamente con otros datos</v>
      </c>
      <c r="M12" s="28" t="s">
        <v>244</v>
      </c>
      <c r="N12" s="28" t="s">
        <v>967</v>
      </c>
      <c r="O12" s="81"/>
    </row>
    <row r="13" spans="1:15" ht="36" x14ac:dyDescent="0.25">
      <c r="B13" s="268"/>
      <c r="C13" s="265"/>
      <c r="D13" s="294"/>
      <c r="E13" s="294"/>
      <c r="F13" s="294"/>
      <c r="G13" s="294"/>
      <c r="H13" s="317"/>
      <c r="I13" s="29" t="s">
        <v>968</v>
      </c>
      <c r="J13" s="5" t="s">
        <v>65</v>
      </c>
      <c r="K13" s="3" t="s">
        <v>88</v>
      </c>
      <c r="L13" s="44" t="str">
        <f>VLOOKUP(K13,[1]CódigosRetorno!$A$2:$B$1996,2,FALSE)</f>
        <v>El comprobante ya esta informado y se encuentra con estado anulado o rechazado</v>
      </c>
      <c r="M13" s="28" t="s">
        <v>244</v>
      </c>
      <c r="N13" s="28" t="s">
        <v>967</v>
      </c>
      <c r="O13" s="81"/>
    </row>
    <row r="14" spans="1:15" x14ac:dyDescent="0.25">
      <c r="B14" s="266">
        <f>+B9+1</f>
        <v>4</v>
      </c>
      <c r="C14" s="265" t="s">
        <v>7</v>
      </c>
      <c r="D14" s="294" t="s">
        <v>61</v>
      </c>
      <c r="E14" s="294" t="s">
        <v>5</v>
      </c>
      <c r="F14" s="294" t="s">
        <v>16</v>
      </c>
      <c r="G14" s="294" t="s">
        <v>9</v>
      </c>
      <c r="H14" s="317" t="s">
        <v>89</v>
      </c>
      <c r="I14" s="29" t="s">
        <v>90</v>
      </c>
      <c r="J14" s="3" t="s">
        <v>65</v>
      </c>
      <c r="K14" s="3" t="s">
        <v>91</v>
      </c>
      <c r="L14" s="44" t="str">
        <f>VLOOKUP(K14,[1]CódigosRetorno!$A$2:$B$1996,2,FALSE)</f>
        <v>El campo de fecha de emision no cumple con el formato establecido</v>
      </c>
      <c r="M14" s="34" t="s">
        <v>67</v>
      </c>
      <c r="N14" s="28"/>
      <c r="O14" s="81"/>
    </row>
    <row r="15" spans="1:15" ht="24" x14ac:dyDescent="0.25">
      <c r="B15" s="266"/>
      <c r="C15" s="265"/>
      <c r="D15" s="294"/>
      <c r="E15" s="294"/>
      <c r="F15" s="294"/>
      <c r="G15" s="294"/>
      <c r="H15" s="317"/>
      <c r="I15" s="29" t="s">
        <v>92</v>
      </c>
      <c r="J15" s="3" t="s">
        <v>65</v>
      </c>
      <c r="K15" s="3" t="s">
        <v>93</v>
      </c>
      <c r="L15" s="44" t="str">
        <f>VLOOKUP(K15,[1]CódigosRetorno!$A$2:$B$1996,2,FALSE)</f>
        <v>Presentacion fuera de fecha</v>
      </c>
      <c r="M15" s="34" t="s">
        <v>244</v>
      </c>
      <c r="N15" s="5" t="s">
        <v>94</v>
      </c>
      <c r="O15" s="81"/>
    </row>
    <row r="16" spans="1:15" x14ac:dyDescent="0.25">
      <c r="B16" s="266"/>
      <c r="C16" s="265"/>
      <c r="D16" s="294"/>
      <c r="E16" s="294"/>
      <c r="F16" s="294"/>
      <c r="G16" s="294"/>
      <c r="H16" s="317"/>
      <c r="I16" s="29" t="s">
        <v>95</v>
      </c>
      <c r="J16" s="3" t="s">
        <v>65</v>
      </c>
      <c r="K16" s="3" t="s">
        <v>96</v>
      </c>
      <c r="L16" s="44" t="str">
        <f>VLOOKUP(K16,[1]CódigosRetorno!$A$2:$B$1996,2,FALSE)</f>
        <v>La fecha de emision se encuentra fuera del limite permitido</v>
      </c>
      <c r="M16" s="34" t="s">
        <v>67</v>
      </c>
      <c r="N16" s="5"/>
      <c r="O16" s="81"/>
    </row>
    <row r="17" spans="1:15" x14ac:dyDescent="0.25">
      <c r="B17" s="266">
        <f>+B14+1</f>
        <v>5</v>
      </c>
      <c r="C17" s="265" t="s">
        <v>97</v>
      </c>
      <c r="D17" s="294" t="s">
        <v>61</v>
      </c>
      <c r="E17" s="294" t="s">
        <v>5</v>
      </c>
      <c r="F17" s="294" t="s">
        <v>37</v>
      </c>
      <c r="G17" s="338" t="s">
        <v>38</v>
      </c>
      <c r="H17" s="317" t="s">
        <v>98</v>
      </c>
      <c r="I17" s="29" t="s">
        <v>99</v>
      </c>
      <c r="J17" s="3" t="s">
        <v>65</v>
      </c>
      <c r="K17" s="3" t="s">
        <v>100</v>
      </c>
      <c r="L17" s="44" t="str">
        <f>VLOOKUP(K17,[1]CódigosRetorno!$A$2:$B$1996,2,FALSE)</f>
        <v>No existe informacion en el campo de hora de emision</v>
      </c>
      <c r="M17" s="34" t="s">
        <v>67</v>
      </c>
      <c r="N17" s="28"/>
      <c r="O17" s="81"/>
    </row>
    <row r="18" spans="1:15" x14ac:dyDescent="0.25">
      <c r="B18" s="266"/>
      <c r="C18" s="265"/>
      <c r="D18" s="294"/>
      <c r="E18" s="294"/>
      <c r="F18" s="294"/>
      <c r="G18" s="338"/>
      <c r="H18" s="317"/>
      <c r="I18" s="29" t="s">
        <v>90</v>
      </c>
      <c r="J18" s="3" t="s">
        <v>65</v>
      </c>
      <c r="K18" s="3" t="s">
        <v>101</v>
      </c>
      <c r="L18" s="44" t="str">
        <f>VLOOKUP(K18,[1]CódigosRetorno!$A$2:$B$1996,2,FALSE)</f>
        <v>El campo de hora de emision no cumple con el formato establecido</v>
      </c>
      <c r="M18" s="34" t="s">
        <v>67</v>
      </c>
      <c r="N18" s="28"/>
      <c r="O18" s="81"/>
    </row>
    <row r="19" spans="1:15" ht="12" customHeight="1" x14ac:dyDescent="0.25">
      <c r="B19" s="287">
        <f>+B17+1</f>
        <v>6</v>
      </c>
      <c r="C19" s="273" t="s">
        <v>102</v>
      </c>
      <c r="D19" s="340" t="s">
        <v>61</v>
      </c>
      <c r="E19" s="340" t="s">
        <v>5</v>
      </c>
      <c r="F19" s="340" t="s">
        <v>42</v>
      </c>
      <c r="G19" s="294" t="s">
        <v>969</v>
      </c>
      <c r="H19" s="317" t="s">
        <v>104</v>
      </c>
      <c r="I19" s="44" t="s">
        <v>64</v>
      </c>
      <c r="J19" s="34" t="s">
        <v>65</v>
      </c>
      <c r="K19" s="35" t="s">
        <v>105</v>
      </c>
      <c r="L19" s="44" t="str">
        <f>VLOOKUP(K19,[1]CódigosRetorno!$A$2:$B$1996,2,FALSE)</f>
        <v>El XML no contiene informacion en el tag DespatchAdviceTypeCode.</v>
      </c>
      <c r="M19" s="34" t="s">
        <v>67</v>
      </c>
      <c r="N19" s="28"/>
      <c r="O19" s="81"/>
    </row>
    <row r="20" spans="1:15" x14ac:dyDescent="0.25">
      <c r="B20" s="288"/>
      <c r="C20" s="279"/>
      <c r="D20" s="341"/>
      <c r="E20" s="341"/>
      <c r="F20" s="341"/>
      <c r="G20" s="294"/>
      <c r="H20" s="317"/>
      <c r="I20" s="44" t="s">
        <v>970</v>
      </c>
      <c r="J20" s="34" t="s">
        <v>65</v>
      </c>
      <c r="K20" s="35" t="s">
        <v>107</v>
      </c>
      <c r="L20" s="44" t="str">
        <f>VLOOKUP(K20,[1]CódigosRetorno!$A$2:$B$1996,2,FALSE)</f>
        <v>DespatchAdviceTypeCode - El valor del tipo de guía es inválido.</v>
      </c>
      <c r="M20" s="34" t="s">
        <v>67</v>
      </c>
      <c r="N20" s="28"/>
      <c r="O20" s="81"/>
    </row>
    <row r="21" spans="1:15" x14ac:dyDescent="0.25">
      <c r="B21" s="288"/>
      <c r="C21" s="279"/>
      <c r="D21" s="341"/>
      <c r="E21" s="341"/>
      <c r="F21" s="341"/>
      <c r="G21" s="31" t="s">
        <v>108</v>
      </c>
      <c r="H21" s="32" t="s">
        <v>109</v>
      </c>
      <c r="I21" s="33" t="s">
        <v>110</v>
      </c>
      <c r="J21" s="34" t="s">
        <v>111</v>
      </c>
      <c r="K21" s="30" t="s">
        <v>112</v>
      </c>
      <c r="L21" s="44" t="str">
        <f>VLOOKUP(K21,[1]CódigosRetorno!$A$2:$B$1996,2,FALSE)</f>
        <v>El dato ingresado como atributo @listAgencyName es incorrecto.</v>
      </c>
      <c r="M21" s="34" t="s">
        <v>67</v>
      </c>
      <c r="N21" s="28"/>
      <c r="O21" s="81"/>
    </row>
    <row r="22" spans="1:15" ht="24" x14ac:dyDescent="0.25">
      <c r="B22" s="288"/>
      <c r="C22" s="279"/>
      <c r="D22" s="341"/>
      <c r="E22" s="341"/>
      <c r="F22" s="341"/>
      <c r="G22" s="31" t="s">
        <v>113</v>
      </c>
      <c r="H22" s="32" t="s">
        <v>114</v>
      </c>
      <c r="I22" s="33" t="s">
        <v>115</v>
      </c>
      <c r="J22" s="34" t="s">
        <v>111</v>
      </c>
      <c r="K22" s="30" t="s">
        <v>116</v>
      </c>
      <c r="L22" s="44" t="str">
        <f>VLOOKUP(K22,[1]CódigosRetorno!$A$2:$B$1996,2,FALSE)</f>
        <v>El dato ingresado como atributo @listName es incorrecto.</v>
      </c>
      <c r="M22" s="34" t="s">
        <v>67</v>
      </c>
      <c r="N22" s="28"/>
      <c r="O22" s="81"/>
    </row>
    <row r="23" spans="1:15" ht="36" x14ac:dyDescent="0.25">
      <c r="B23" s="291"/>
      <c r="C23" s="274"/>
      <c r="D23" s="342"/>
      <c r="E23" s="342"/>
      <c r="F23" s="342"/>
      <c r="G23" s="31" t="s">
        <v>117</v>
      </c>
      <c r="H23" s="32" t="s">
        <v>118</v>
      </c>
      <c r="I23" s="33" t="s">
        <v>119</v>
      </c>
      <c r="J23" s="30" t="s">
        <v>111</v>
      </c>
      <c r="K23" s="35" t="s">
        <v>120</v>
      </c>
      <c r="L23" s="44" t="str">
        <f>VLOOKUP(K23,[1]CódigosRetorno!$A$2:$B$1996,2,FALSE)</f>
        <v>El dato ingresado como atributo @listURI es incorrecto.</v>
      </c>
      <c r="M23" s="34" t="s">
        <v>67</v>
      </c>
      <c r="N23" s="28"/>
      <c r="O23" s="81"/>
    </row>
    <row r="24" spans="1:15" ht="48" x14ac:dyDescent="0.25">
      <c r="B24" s="62">
        <f>+B19+1</f>
        <v>7</v>
      </c>
      <c r="C24" s="189" t="s">
        <v>121</v>
      </c>
      <c r="D24" s="28" t="s">
        <v>61</v>
      </c>
      <c r="E24" s="28" t="s">
        <v>15</v>
      </c>
      <c r="F24" s="28" t="s">
        <v>36</v>
      </c>
      <c r="G24" s="31"/>
      <c r="H24" s="44" t="s">
        <v>122</v>
      </c>
      <c r="I24" s="44" t="s">
        <v>971</v>
      </c>
      <c r="J24" s="28" t="s">
        <v>111</v>
      </c>
      <c r="K24" s="30" t="s">
        <v>124</v>
      </c>
      <c r="L24" s="44" t="str">
        <f>VLOOKUP(K24,[1]CódigosRetorno!$A$2:$B$1996,2,FALSE)</f>
        <v>cbc:Note - El campo observaciones supera la cantidad maxima especificada (250 carácteres).</v>
      </c>
      <c r="M24" s="34" t="s">
        <v>67</v>
      </c>
      <c r="N24" s="28"/>
      <c r="O24" s="81"/>
    </row>
    <row r="25" spans="1:15" x14ac:dyDescent="0.25">
      <c r="B25" s="92" t="s">
        <v>535</v>
      </c>
      <c r="C25" s="93"/>
      <c r="D25" s="94"/>
      <c r="E25" s="95"/>
      <c r="F25" s="96"/>
      <c r="G25" s="97"/>
      <c r="H25" s="93"/>
      <c r="I25" s="93"/>
      <c r="J25" s="94"/>
      <c r="K25" s="98"/>
      <c r="L25" s="93"/>
      <c r="M25" s="94"/>
      <c r="N25" s="99"/>
      <c r="O25" s="81"/>
    </row>
    <row r="26" spans="1:15" s="85" customFormat="1" ht="24" x14ac:dyDescent="0.25">
      <c r="A26" s="72"/>
      <c r="B26" s="295">
        <f>B24+1</f>
        <v>8</v>
      </c>
      <c r="C26" s="273" t="s">
        <v>972</v>
      </c>
      <c r="D26" s="287" t="s">
        <v>61</v>
      </c>
      <c r="E26" s="287" t="s">
        <v>5</v>
      </c>
      <c r="F26" s="287" t="s">
        <v>17</v>
      </c>
      <c r="G26" s="268" t="s">
        <v>127</v>
      </c>
      <c r="H26" s="339" t="s">
        <v>973</v>
      </c>
      <c r="I26" s="29" t="s">
        <v>64</v>
      </c>
      <c r="J26" s="5" t="s">
        <v>65</v>
      </c>
      <c r="K26" s="3" t="s">
        <v>130</v>
      </c>
      <c r="L26" s="44" t="str">
        <f>VLOOKUP(K26,[1]CódigosRetorno!$A$2:$B$1996,2,FALSE)</f>
        <v>El XML no contiene el atributo o no existe información del tipo de documento del emisor</v>
      </c>
      <c r="M26" s="5" t="s">
        <v>67</v>
      </c>
      <c r="N26" s="5"/>
      <c r="O26" s="84"/>
    </row>
    <row r="27" spans="1:15" s="85" customFormat="1" x14ac:dyDescent="0.25">
      <c r="A27" s="72"/>
      <c r="B27" s="296"/>
      <c r="C27" s="279"/>
      <c r="D27" s="288"/>
      <c r="E27" s="288"/>
      <c r="F27" s="291"/>
      <c r="G27" s="268"/>
      <c r="H27" s="339"/>
      <c r="I27" s="29" t="s">
        <v>974</v>
      </c>
      <c r="J27" s="5" t="s">
        <v>65</v>
      </c>
      <c r="K27" s="3" t="s">
        <v>132</v>
      </c>
      <c r="L27" s="44" t="str">
        <f>VLOOKUP(K27,[1]CódigosRetorno!$A$2:$B$1996,2,FALSE)</f>
        <v>El tipo de documento no es aceptado.</v>
      </c>
      <c r="M27" s="5" t="s">
        <v>67</v>
      </c>
      <c r="N27" s="5"/>
      <c r="O27" s="84"/>
    </row>
    <row r="28" spans="1:15" s="85" customFormat="1" ht="24" x14ac:dyDescent="0.25">
      <c r="A28" s="72"/>
      <c r="B28" s="296"/>
      <c r="C28" s="279"/>
      <c r="D28" s="288"/>
      <c r="E28" s="288"/>
      <c r="F28" s="287"/>
      <c r="G28" s="37" t="s">
        <v>133</v>
      </c>
      <c r="H28" s="67" t="s">
        <v>134</v>
      </c>
      <c r="I28" s="29" t="s">
        <v>135</v>
      </c>
      <c r="J28" s="5" t="s">
        <v>111</v>
      </c>
      <c r="K28" s="3" t="s">
        <v>136</v>
      </c>
      <c r="L28" s="44" t="str">
        <f>VLOOKUP(K28,[1]CódigosRetorno!$A$2:$B$1996,2,FALSE)</f>
        <v>El dato ingresado como atributo @schemeName es incorrecto.</v>
      </c>
      <c r="M28" s="5" t="s">
        <v>67</v>
      </c>
      <c r="N28" s="5"/>
      <c r="O28" s="84"/>
    </row>
    <row r="29" spans="1:15" s="85" customFormat="1" x14ac:dyDescent="0.25">
      <c r="A29" s="72"/>
      <c r="B29" s="296"/>
      <c r="C29" s="279"/>
      <c r="D29" s="288"/>
      <c r="E29" s="288"/>
      <c r="F29" s="288"/>
      <c r="G29" s="37" t="s">
        <v>108</v>
      </c>
      <c r="H29" s="67" t="s">
        <v>137</v>
      </c>
      <c r="I29" s="29" t="s">
        <v>110</v>
      </c>
      <c r="J29" s="5" t="s">
        <v>111</v>
      </c>
      <c r="K29" s="3" t="s">
        <v>138</v>
      </c>
      <c r="L29" s="44" t="str">
        <f>VLOOKUP(K29,[1]CódigosRetorno!$A$2:$B$1996,2,FALSE)</f>
        <v>El dato ingresado como atributo @schemeAgencyName es incorrecto.</v>
      </c>
      <c r="M29" s="5" t="s">
        <v>67</v>
      </c>
      <c r="N29" s="5"/>
      <c r="O29" s="84"/>
    </row>
    <row r="30" spans="1:15" s="85" customFormat="1" ht="36" x14ac:dyDescent="0.25">
      <c r="A30" s="72"/>
      <c r="B30" s="296"/>
      <c r="C30" s="279"/>
      <c r="D30" s="288"/>
      <c r="E30" s="288"/>
      <c r="F30" s="291"/>
      <c r="G30" s="37" t="s">
        <v>139</v>
      </c>
      <c r="H30" s="67" t="s">
        <v>140</v>
      </c>
      <c r="I30" s="29" t="s">
        <v>141</v>
      </c>
      <c r="J30" s="5" t="s">
        <v>111</v>
      </c>
      <c r="K30" s="3" t="s">
        <v>142</v>
      </c>
      <c r="L30" s="44" t="str">
        <f>VLOOKUP(K30,[1]CódigosRetorno!$A$2:$B$1996,2,FALSE)</f>
        <v>El dato ingresado como atributo @schemeURI es incorrecto.</v>
      </c>
      <c r="M30" s="5" t="s">
        <v>67</v>
      </c>
      <c r="N30" s="5"/>
      <c r="O30" s="84"/>
    </row>
    <row r="31" spans="1:15" ht="24" x14ac:dyDescent="0.25">
      <c r="B31" s="296"/>
      <c r="C31" s="279"/>
      <c r="D31" s="288"/>
      <c r="E31" s="288"/>
      <c r="F31" s="268" t="s">
        <v>143</v>
      </c>
      <c r="G31" s="292" t="s">
        <v>144</v>
      </c>
      <c r="H31" s="339" t="s">
        <v>975</v>
      </c>
      <c r="I31" s="29" t="s">
        <v>146</v>
      </c>
      <c r="J31" s="3" t="s">
        <v>65</v>
      </c>
      <c r="K31" s="3" t="s">
        <v>147</v>
      </c>
      <c r="L31" s="44" t="str">
        <f>VLOOKUP(K31,[1]CódigosRetorno!$A$2:$B$1996,2,FALSE)</f>
        <v>Número de RUC del nombre del archivo no coincide con el consignado en el contenido del archivo XML</v>
      </c>
      <c r="M31" s="36" t="s">
        <v>67</v>
      </c>
      <c r="N31" s="5"/>
      <c r="O31" s="81"/>
    </row>
    <row r="32" spans="1:15" ht="24" x14ac:dyDescent="0.25">
      <c r="B32" s="296"/>
      <c r="C32" s="279"/>
      <c r="D32" s="288"/>
      <c r="E32" s="288"/>
      <c r="F32" s="268"/>
      <c r="G32" s="292"/>
      <c r="H32" s="339"/>
      <c r="I32" s="29" t="s">
        <v>976</v>
      </c>
      <c r="J32" s="3" t="s">
        <v>65</v>
      </c>
      <c r="K32" s="41" t="s">
        <v>550</v>
      </c>
      <c r="L32" s="44" t="str">
        <f>VLOOKUP(K32,[1]CódigosRetorno!$A$2:$B$1996,2,FALSE)</f>
        <v>El RUC del Transportista no esta activo</v>
      </c>
      <c r="M32" s="36" t="s">
        <v>244</v>
      </c>
      <c r="N32" s="5" t="s">
        <v>150</v>
      </c>
      <c r="O32" s="81"/>
    </row>
    <row r="33" spans="1:15" ht="24" x14ac:dyDescent="0.25">
      <c r="B33" s="296"/>
      <c r="C33" s="279"/>
      <c r="D33" s="288"/>
      <c r="E33" s="288"/>
      <c r="F33" s="268"/>
      <c r="G33" s="292"/>
      <c r="H33" s="339"/>
      <c r="I33" s="29" t="s">
        <v>977</v>
      </c>
      <c r="J33" s="3" t="s">
        <v>65</v>
      </c>
      <c r="K33" s="41" t="s">
        <v>552</v>
      </c>
      <c r="L33" s="44" t="str">
        <f>VLOOKUP(K33,[1]CódigosRetorno!$A$2:$B$1996,2,FALSE)</f>
        <v>El RUC del Transportista no esta habido</v>
      </c>
      <c r="M33" s="36" t="s">
        <v>244</v>
      </c>
      <c r="N33" s="5" t="s">
        <v>150</v>
      </c>
      <c r="O33" s="81"/>
    </row>
    <row r="34" spans="1:15" ht="48" x14ac:dyDescent="0.25">
      <c r="B34" s="297"/>
      <c r="C34" s="274"/>
      <c r="D34" s="291"/>
      <c r="E34" s="291"/>
      <c r="F34" s="268"/>
      <c r="G34" s="292"/>
      <c r="H34" s="339"/>
      <c r="I34" s="29" t="s">
        <v>978</v>
      </c>
      <c r="J34" s="3" t="s">
        <v>65</v>
      </c>
      <c r="K34" s="3" t="s">
        <v>154</v>
      </c>
      <c r="L34" s="44" t="str">
        <f>VLOOKUP(K34,[1]CódigosRetorno!$A$2:$B$1996,2,FALSE)</f>
        <v>El RUC no esta afecto a los tributos autorizados</v>
      </c>
      <c r="M34" s="36" t="s">
        <v>244</v>
      </c>
      <c r="N34" s="5" t="s">
        <v>979</v>
      </c>
      <c r="O34" s="81"/>
    </row>
    <row r="35" spans="1:15" ht="24" x14ac:dyDescent="0.25">
      <c r="B35" s="292">
        <f>B26+1</f>
        <v>9</v>
      </c>
      <c r="C35" s="265" t="s">
        <v>980</v>
      </c>
      <c r="D35" s="266" t="s">
        <v>61</v>
      </c>
      <c r="E35" s="266" t="s">
        <v>5</v>
      </c>
      <c r="F35" s="268" t="s">
        <v>36</v>
      </c>
      <c r="G35" s="280"/>
      <c r="H35" s="339" t="s">
        <v>157</v>
      </c>
      <c r="I35" s="29" t="s">
        <v>64</v>
      </c>
      <c r="J35" s="5" t="s">
        <v>65</v>
      </c>
      <c r="K35" s="3" t="s">
        <v>158</v>
      </c>
      <c r="L35" s="44" t="str">
        <f>VLOOKUP(K35,[1]CódigosRetorno!$A$2:$B$1996,2,FALSE)</f>
        <v>El XML no contiene el tag o no existe informacion de RegistrationName del emisor del documento</v>
      </c>
      <c r="M35" s="36" t="s">
        <v>67</v>
      </c>
      <c r="N35" s="5"/>
      <c r="O35" s="81"/>
    </row>
    <row r="36" spans="1:15" ht="48" x14ac:dyDescent="0.25">
      <c r="B36" s="292"/>
      <c r="C36" s="265"/>
      <c r="D36" s="266"/>
      <c r="E36" s="266"/>
      <c r="F36" s="268"/>
      <c r="G36" s="284"/>
      <c r="H36" s="339"/>
      <c r="I36" s="29" t="s">
        <v>981</v>
      </c>
      <c r="J36" s="5" t="s">
        <v>111</v>
      </c>
      <c r="K36" s="3" t="s">
        <v>160</v>
      </c>
      <c r="L36" s="44" t="str">
        <f>VLOOKUP(K36,[1]CódigosRetorno!$A$2:$B$1996,2,FALSE)</f>
        <v>RegistrationName - El nombre o razon social del emisor no cumple con el estandar</v>
      </c>
      <c r="M36" s="36" t="s">
        <v>67</v>
      </c>
      <c r="N36" s="5"/>
      <c r="O36" s="81"/>
    </row>
    <row r="37" spans="1:15" s="85" customFormat="1" ht="24" x14ac:dyDescent="0.25">
      <c r="A37" s="72"/>
      <c r="B37" s="266">
        <f>B35+1</f>
        <v>10</v>
      </c>
      <c r="C37" s="265" t="s">
        <v>564</v>
      </c>
      <c r="D37" s="268" t="s">
        <v>61</v>
      </c>
      <c r="E37" s="268" t="s">
        <v>15</v>
      </c>
      <c r="F37" s="268" t="s">
        <v>33</v>
      </c>
      <c r="G37" s="280"/>
      <c r="H37" s="339" t="s">
        <v>982</v>
      </c>
      <c r="I37" s="29" t="s">
        <v>64</v>
      </c>
      <c r="J37" s="5" t="s">
        <v>111</v>
      </c>
      <c r="K37" s="3" t="s">
        <v>568</v>
      </c>
      <c r="L37" s="44" t="str">
        <f>VLOOKUP(K37,[1]CódigosRetorno!$A$2:$B$1996,2,FALSE)</f>
        <v>El Numero de Registro MTC del transportista no existe o no contiene informacion</v>
      </c>
      <c r="M37" s="5" t="s">
        <v>67</v>
      </c>
      <c r="N37" s="5"/>
      <c r="O37" s="84"/>
    </row>
    <row r="38" spans="1:15" s="85" customFormat="1" ht="60" x14ac:dyDescent="0.25">
      <c r="A38" s="72"/>
      <c r="B38" s="266"/>
      <c r="C38" s="265"/>
      <c r="D38" s="268"/>
      <c r="E38" s="268"/>
      <c r="F38" s="268"/>
      <c r="G38" s="281"/>
      <c r="H38" s="339"/>
      <c r="I38" s="67" t="s">
        <v>983</v>
      </c>
      <c r="J38" s="5" t="s">
        <v>111</v>
      </c>
      <c r="K38" s="3" t="s">
        <v>571</v>
      </c>
      <c r="L38" s="44" t="str">
        <f>VLOOKUP(K38,[1]CódigosRetorno!$A$2:$B$1996,2,FALSE)</f>
        <v>El Numero de Registro MTC del transportista no cumple con el formato establecido</v>
      </c>
      <c r="M38" s="5" t="s">
        <v>67</v>
      </c>
      <c r="N38" s="5"/>
      <c r="O38" s="84"/>
    </row>
    <row r="39" spans="1:15" s="85" customFormat="1" ht="36" x14ac:dyDescent="0.25">
      <c r="A39" s="72"/>
      <c r="B39" s="266"/>
      <c r="C39" s="265"/>
      <c r="D39" s="268"/>
      <c r="E39" s="268"/>
      <c r="F39" s="268"/>
      <c r="G39" s="281"/>
      <c r="H39" s="339"/>
      <c r="I39" s="29" t="s">
        <v>572</v>
      </c>
      <c r="J39" s="5" t="s">
        <v>111</v>
      </c>
      <c r="K39" s="3" t="s">
        <v>573</v>
      </c>
      <c r="L39" s="44" t="str">
        <f>VLOOKUP(K39,[1]CódigosRetorno!$A$2:$B$1996,2,FALSE)</f>
        <v>El Numero de Registro MTC del transportista no se encuentra en las bases consultadas</v>
      </c>
      <c r="M39" s="5" t="s">
        <v>244</v>
      </c>
      <c r="N39" s="5" t="s">
        <v>574</v>
      </c>
      <c r="O39" s="84"/>
    </row>
    <row r="40" spans="1:15" s="85" customFormat="1" x14ac:dyDescent="0.25">
      <c r="A40" s="72"/>
      <c r="B40" s="266"/>
      <c r="C40" s="265"/>
      <c r="D40" s="268"/>
      <c r="E40" s="268"/>
      <c r="F40" s="268"/>
      <c r="G40" s="284"/>
      <c r="H40" s="339"/>
      <c r="I40" s="27" t="s">
        <v>575</v>
      </c>
      <c r="J40" s="5" t="s">
        <v>65</v>
      </c>
      <c r="K40" s="3" t="s">
        <v>167</v>
      </c>
      <c r="L40" s="44" t="str">
        <f>VLOOKUP(K40,[1]CódigosRetorno!$A$2:$B$1996,2,FALSE)</f>
        <v>Solo debe consignar un Numero de autorizacion</v>
      </c>
      <c r="M40" s="5" t="s">
        <v>67</v>
      </c>
      <c r="N40" s="5"/>
      <c r="O40" s="84"/>
    </row>
    <row r="41" spans="1:15" s="85" customFormat="1" ht="48" x14ac:dyDescent="0.25">
      <c r="A41" s="72"/>
      <c r="B41" s="268">
        <v>11</v>
      </c>
      <c r="C41" s="265" t="s">
        <v>984</v>
      </c>
      <c r="D41" s="268" t="s">
        <v>61</v>
      </c>
      <c r="E41" s="268" t="s">
        <v>15</v>
      </c>
      <c r="F41" s="268" t="s">
        <v>162</v>
      </c>
      <c r="G41" s="292"/>
      <c r="H41" s="339" t="s">
        <v>577</v>
      </c>
      <c r="I41" s="29" t="s">
        <v>985</v>
      </c>
      <c r="J41" s="5" t="s">
        <v>111</v>
      </c>
      <c r="K41" s="3" t="s">
        <v>579</v>
      </c>
      <c r="L41" s="44" t="str">
        <f>VLOOKUP(K41,[1]CódigosRetorno!$A$2:$B$1996,2,FALSE)</f>
        <v>El Numero de autorizacion del transportista no cumple con el formato establecido</v>
      </c>
      <c r="M41" s="5" t="s">
        <v>67</v>
      </c>
      <c r="N41" s="5"/>
      <c r="O41" s="84"/>
    </row>
    <row r="42" spans="1:15" s="85" customFormat="1" x14ac:dyDescent="0.25">
      <c r="A42" s="72"/>
      <c r="B42" s="268"/>
      <c r="C42" s="265"/>
      <c r="D42" s="268"/>
      <c r="E42" s="268"/>
      <c r="F42" s="268"/>
      <c r="G42" s="292"/>
      <c r="H42" s="339"/>
      <c r="I42" s="44" t="s">
        <v>575</v>
      </c>
      <c r="J42" s="5" t="s">
        <v>65</v>
      </c>
      <c r="K42" s="3" t="s">
        <v>167</v>
      </c>
      <c r="L42" s="44" t="str">
        <f>VLOOKUP(K42,[1]CódigosRetorno!$A$2:$B$1996,2,FALSE)</f>
        <v>Solo debe consignar un Numero de autorizacion</v>
      </c>
      <c r="M42" s="5" t="s">
        <v>67</v>
      </c>
      <c r="N42" s="5"/>
      <c r="O42" s="84"/>
    </row>
    <row r="43" spans="1:15" s="85" customFormat="1" ht="24" x14ac:dyDescent="0.25">
      <c r="A43" s="72"/>
      <c r="B43" s="266"/>
      <c r="C43" s="265"/>
      <c r="D43" s="268"/>
      <c r="E43" s="268"/>
      <c r="F43" s="268" t="s">
        <v>30</v>
      </c>
      <c r="G43" s="292" t="s">
        <v>986</v>
      </c>
      <c r="H43" s="339" t="s">
        <v>580</v>
      </c>
      <c r="I43" s="29" t="s">
        <v>173</v>
      </c>
      <c r="J43" s="5" t="s">
        <v>111</v>
      </c>
      <c r="K43" s="3" t="s">
        <v>174</v>
      </c>
      <c r="L43" s="44" t="str">
        <f>VLOOKUP(K43,[1]CódigosRetorno!$A$2:$B$1996,2,FALSE)</f>
        <v>Debe indicar la entidad autorizadora de la autorizacion especial</v>
      </c>
      <c r="M43" s="5" t="s">
        <v>67</v>
      </c>
      <c r="N43" s="5" t="s">
        <v>172</v>
      </c>
      <c r="O43" s="84"/>
    </row>
    <row r="44" spans="1:15" s="85" customFormat="1" ht="24" x14ac:dyDescent="0.25">
      <c r="A44" s="72"/>
      <c r="B44" s="266"/>
      <c r="C44" s="265"/>
      <c r="D44" s="268"/>
      <c r="E44" s="268"/>
      <c r="F44" s="268"/>
      <c r="G44" s="292"/>
      <c r="H44" s="339"/>
      <c r="I44" s="29" t="s">
        <v>581</v>
      </c>
      <c r="J44" s="5" t="s">
        <v>111</v>
      </c>
      <c r="K44" s="3" t="s">
        <v>171</v>
      </c>
      <c r="L44" s="44" t="str">
        <f>VLOOKUP(K44,[1]CódigosRetorno!$A$2:$B$1996,2,FALSE)</f>
        <v>El Codigo de entidad autorizadora es invalido</v>
      </c>
      <c r="M44" s="5" t="s">
        <v>67</v>
      </c>
      <c r="N44" s="5" t="s">
        <v>172</v>
      </c>
      <c r="O44" s="84"/>
    </row>
    <row r="45" spans="1:15" s="85" customFormat="1" ht="24" x14ac:dyDescent="0.25">
      <c r="A45" s="72"/>
      <c r="B45" s="266"/>
      <c r="C45" s="265"/>
      <c r="D45" s="268"/>
      <c r="E45" s="268"/>
      <c r="F45" s="268"/>
      <c r="G45" s="292"/>
      <c r="H45" s="339"/>
      <c r="I45" s="29" t="s">
        <v>615</v>
      </c>
      <c r="J45" s="5" t="s">
        <v>111</v>
      </c>
      <c r="K45" s="3" t="s">
        <v>176</v>
      </c>
      <c r="L45" s="44" t="str">
        <f>VLOOKUP(K45,[1]CódigosRetorno!$A$2:$B$1996,2,FALSE)</f>
        <v>SI existe el Codigo de entidad autorizadora, debe consignar el Numero de autorizacion especial de la empresa</v>
      </c>
      <c r="M45" s="5" t="s">
        <v>67</v>
      </c>
      <c r="N45" s="5"/>
      <c r="O45" s="84"/>
    </row>
    <row r="46" spans="1:15" s="85" customFormat="1" ht="24" x14ac:dyDescent="0.25">
      <c r="A46" s="72"/>
      <c r="B46" s="266"/>
      <c r="C46" s="265"/>
      <c r="D46" s="268"/>
      <c r="E46" s="268"/>
      <c r="F46" s="268"/>
      <c r="G46" s="5" t="s">
        <v>177</v>
      </c>
      <c r="H46" s="29" t="s">
        <v>134</v>
      </c>
      <c r="I46" s="29" t="s">
        <v>178</v>
      </c>
      <c r="J46" s="5" t="s">
        <v>111</v>
      </c>
      <c r="K46" s="3" t="s">
        <v>136</v>
      </c>
      <c r="L46" s="44" t="str">
        <f>VLOOKUP(K46,[1]CódigosRetorno!$A$2:$B$1996,2,FALSE)</f>
        <v>El dato ingresado como atributo @schemeName es incorrecto.</v>
      </c>
      <c r="M46" s="5" t="s">
        <v>67</v>
      </c>
      <c r="N46" s="5"/>
      <c r="O46" s="84"/>
    </row>
    <row r="47" spans="1:15" s="85" customFormat="1" x14ac:dyDescent="0.25">
      <c r="A47" s="72"/>
      <c r="B47" s="266"/>
      <c r="C47" s="265"/>
      <c r="D47" s="268"/>
      <c r="E47" s="268"/>
      <c r="F47" s="268"/>
      <c r="G47" s="5" t="s">
        <v>108</v>
      </c>
      <c r="H47" s="29" t="s">
        <v>137</v>
      </c>
      <c r="I47" s="29" t="s">
        <v>110</v>
      </c>
      <c r="J47" s="5" t="s">
        <v>111</v>
      </c>
      <c r="K47" s="3" t="s">
        <v>138</v>
      </c>
      <c r="L47" s="44" t="str">
        <f>VLOOKUP(K47,[1]CódigosRetorno!$A$2:$B$1996,2,FALSE)</f>
        <v>El dato ingresado como atributo @schemeAgencyName es incorrecto.</v>
      </c>
      <c r="M47" s="5" t="s">
        <v>67</v>
      </c>
      <c r="N47" s="5"/>
      <c r="O47" s="84"/>
    </row>
    <row r="48" spans="1:15" x14ac:dyDescent="0.25">
      <c r="B48" s="92" t="s">
        <v>987</v>
      </c>
      <c r="C48" s="93"/>
      <c r="D48" s="94"/>
      <c r="E48" s="100"/>
      <c r="F48" s="96"/>
      <c r="G48" s="97"/>
      <c r="H48" s="93"/>
      <c r="I48" s="93"/>
      <c r="J48" s="94"/>
      <c r="K48" s="98"/>
      <c r="L48" s="93"/>
      <c r="M48" s="94"/>
      <c r="N48" s="99"/>
      <c r="O48" s="81"/>
    </row>
    <row r="49" spans="2:15" ht="24" x14ac:dyDescent="0.25">
      <c r="B49" s="276">
        <f>B41+1</f>
        <v>12</v>
      </c>
      <c r="C49" s="265" t="s">
        <v>180</v>
      </c>
      <c r="D49" s="266" t="s">
        <v>61</v>
      </c>
      <c r="E49" s="266" t="s">
        <v>15</v>
      </c>
      <c r="F49" s="268" t="s">
        <v>181</v>
      </c>
      <c r="G49" s="339"/>
      <c r="H49" s="339" t="s">
        <v>182</v>
      </c>
      <c r="I49" s="29" t="s">
        <v>988</v>
      </c>
      <c r="J49" s="5" t="s">
        <v>111</v>
      </c>
      <c r="K49" s="3" t="s">
        <v>184</v>
      </c>
      <c r="L49" s="44" t="str">
        <f>VLOOKUP(K49,[1]CódigosRetorno!$A$2:$B$1996,2,FALSE)</f>
        <v>El XML no contiene el tag o no existe informacion de la descripcion del tipo de documento relacionado</v>
      </c>
      <c r="M49" s="36" t="s">
        <v>67</v>
      </c>
      <c r="N49" s="5"/>
      <c r="O49" s="81"/>
    </row>
    <row r="50" spans="2:15" ht="24" x14ac:dyDescent="0.25">
      <c r="B50" s="276"/>
      <c r="C50" s="265"/>
      <c r="D50" s="266"/>
      <c r="E50" s="266"/>
      <c r="F50" s="268"/>
      <c r="G50" s="339"/>
      <c r="H50" s="339"/>
      <c r="I50" s="29" t="s">
        <v>185</v>
      </c>
      <c r="J50" s="5" t="s">
        <v>111</v>
      </c>
      <c r="K50" s="3" t="s">
        <v>186</v>
      </c>
      <c r="L50" s="44" t="str">
        <f>VLOOKUP(K50,[1]CódigosRetorno!$A$2:$B$1996,2,FALSE)</f>
        <v>Si existe descripcion del documento relacionado debe existir informacion del codigo y numero del documento relacionado</v>
      </c>
      <c r="M50" s="36" t="s">
        <v>67</v>
      </c>
      <c r="N50" s="5"/>
      <c r="O50" s="81"/>
    </row>
    <row r="51" spans="2:15" ht="48" x14ac:dyDescent="0.25">
      <c r="B51" s="276"/>
      <c r="C51" s="265"/>
      <c r="D51" s="266"/>
      <c r="E51" s="266"/>
      <c r="F51" s="268"/>
      <c r="G51" s="339"/>
      <c r="H51" s="339"/>
      <c r="I51" s="67" t="s">
        <v>989</v>
      </c>
      <c r="J51" s="5" t="s">
        <v>111</v>
      </c>
      <c r="K51" s="3" t="s">
        <v>188</v>
      </c>
      <c r="L51" s="44" t="str">
        <f>VLOOKUP(K51,[1]CódigosRetorno!$A$2:$B$1996,2,FALSE)</f>
        <v>La descripcion del tipo de documento relacionado no cumple con el estandar</v>
      </c>
      <c r="M51" s="36" t="s">
        <v>67</v>
      </c>
      <c r="N51" s="5"/>
      <c r="O51" s="81"/>
    </row>
    <row r="52" spans="2:15" ht="24" x14ac:dyDescent="0.25">
      <c r="B52" s="292">
        <f>+B49+1</f>
        <v>13</v>
      </c>
      <c r="C52" s="265" t="s">
        <v>189</v>
      </c>
      <c r="D52" s="266" t="s">
        <v>61</v>
      </c>
      <c r="E52" s="266" t="s">
        <v>15</v>
      </c>
      <c r="F52" s="287" t="s">
        <v>30</v>
      </c>
      <c r="G52" s="292" t="s">
        <v>190</v>
      </c>
      <c r="H52" s="339" t="s">
        <v>191</v>
      </c>
      <c r="I52" s="29" t="s">
        <v>192</v>
      </c>
      <c r="J52" s="5" t="s">
        <v>65</v>
      </c>
      <c r="K52" s="3" t="s">
        <v>193</v>
      </c>
      <c r="L52" s="44" t="str">
        <f>VLOOKUP(K52,[1]CódigosRetorno!$A$2:$B$1996,2,FALSE)</f>
        <v>El tipo de documento relacionado no es válido</v>
      </c>
      <c r="M52" s="36" t="s">
        <v>67</v>
      </c>
      <c r="N52" s="5" t="s">
        <v>194</v>
      </c>
      <c r="O52" s="81"/>
    </row>
    <row r="53" spans="2:15" ht="24" x14ac:dyDescent="0.25">
      <c r="B53" s="292"/>
      <c r="C53" s="265"/>
      <c r="D53" s="266"/>
      <c r="E53" s="266"/>
      <c r="F53" s="288"/>
      <c r="G53" s="292"/>
      <c r="H53" s="339"/>
      <c r="I53" s="29" t="s">
        <v>195</v>
      </c>
      <c r="J53" s="5" t="s">
        <v>65</v>
      </c>
      <c r="K53" s="3" t="s">
        <v>196</v>
      </c>
      <c r="L53" s="44" t="str">
        <f>VLOOKUP(K53,[1]CódigosRetorno!$A$2:$B$1996,2,FALSE)</f>
        <v>El XML no contiene el tag o no existe informacion del numero de documento relacionado</v>
      </c>
      <c r="M53" s="36" t="s">
        <v>67</v>
      </c>
      <c r="N53" s="5"/>
      <c r="O53" s="81"/>
    </row>
    <row r="54" spans="2:15" ht="48" x14ac:dyDescent="0.25">
      <c r="B54" s="292"/>
      <c r="C54" s="265"/>
      <c r="D54" s="266"/>
      <c r="E54" s="266"/>
      <c r="F54" s="288"/>
      <c r="G54" s="292"/>
      <c r="H54" s="339"/>
      <c r="I54" s="27" t="s">
        <v>990</v>
      </c>
      <c r="J54" s="5" t="s">
        <v>65</v>
      </c>
      <c r="K54" s="3" t="s">
        <v>991</v>
      </c>
      <c r="L54" s="44" t="str">
        <f>VLOOKUP(K54,[1]CódigosRetorno!$A$2:$B$1996,2,FALSE)</f>
        <v>Solo corresponde ingresar hasta dos 2 documentos relacionados si uno de los tipos de documentos relacionados es "31", "65", "66", "67", "68" o "69"</v>
      </c>
      <c r="M54" s="36" t="s">
        <v>67</v>
      </c>
      <c r="N54" s="5"/>
      <c r="O54" s="81"/>
    </row>
    <row r="55" spans="2:15" ht="72" x14ac:dyDescent="0.25">
      <c r="B55" s="292"/>
      <c r="C55" s="265"/>
      <c r="D55" s="266"/>
      <c r="E55" s="266"/>
      <c r="F55" s="291"/>
      <c r="G55" s="268"/>
      <c r="H55" s="339"/>
      <c r="I55" s="27" t="s">
        <v>992</v>
      </c>
      <c r="J55" s="5" t="s">
        <v>65</v>
      </c>
      <c r="K55" s="3" t="s">
        <v>993</v>
      </c>
      <c r="L55" s="44" t="str">
        <f>VLOOKUP(K55,[1]CódigosRetorno!$A$2:$B$1996,2,FALSE)</f>
        <v>Solo corresponde ingresar mas de 1 documento relacionado si uno de los tipos de documentos relacionados es "31", "65", "66", "67", "68" o "69", o "09" (solo guia electronica)</v>
      </c>
      <c r="M55" s="36" t="s">
        <v>67</v>
      </c>
      <c r="N55" s="5"/>
      <c r="O55" s="81"/>
    </row>
    <row r="56" spans="2:15" x14ac:dyDescent="0.25">
      <c r="B56" s="292"/>
      <c r="C56" s="265"/>
      <c r="D56" s="266"/>
      <c r="E56" s="266"/>
      <c r="F56" s="287"/>
      <c r="G56" s="28" t="s">
        <v>108</v>
      </c>
      <c r="H56" s="33" t="s">
        <v>109</v>
      </c>
      <c r="I56" s="33" t="s">
        <v>110</v>
      </c>
      <c r="J56" s="34" t="s">
        <v>111</v>
      </c>
      <c r="K56" s="30" t="s">
        <v>112</v>
      </c>
      <c r="L56" s="44" t="str">
        <f>VLOOKUP(K56,[1]CódigosRetorno!$A$2:$B$1996,2,FALSE)</f>
        <v>El dato ingresado como atributo @listAgencyName es incorrecto.</v>
      </c>
      <c r="M56" s="36"/>
      <c r="N56" s="5"/>
      <c r="O56" s="81"/>
    </row>
    <row r="57" spans="2:15" ht="36" x14ac:dyDescent="0.25">
      <c r="B57" s="292"/>
      <c r="C57" s="265"/>
      <c r="D57" s="266"/>
      <c r="E57" s="266"/>
      <c r="F57" s="288"/>
      <c r="G57" s="28" t="s">
        <v>204</v>
      </c>
      <c r="H57" s="33" t="s">
        <v>114</v>
      </c>
      <c r="I57" s="27" t="s">
        <v>205</v>
      </c>
      <c r="J57" s="30" t="s">
        <v>111</v>
      </c>
      <c r="K57" s="35" t="s">
        <v>116</v>
      </c>
      <c r="L57" s="44" t="str">
        <f>VLOOKUP(K57,[1]CódigosRetorno!$A$2:$B$1996,2,FALSE)</f>
        <v>El dato ingresado como atributo @listName es incorrecto.</v>
      </c>
      <c r="M57" s="36"/>
      <c r="N57" s="5"/>
      <c r="O57" s="81"/>
    </row>
    <row r="58" spans="2:15" ht="36" x14ac:dyDescent="0.25">
      <c r="B58" s="292"/>
      <c r="C58" s="265"/>
      <c r="D58" s="266"/>
      <c r="E58" s="266"/>
      <c r="F58" s="291"/>
      <c r="G58" s="5" t="s">
        <v>206</v>
      </c>
      <c r="H58" s="33" t="s">
        <v>118</v>
      </c>
      <c r="I58" s="33" t="s">
        <v>207</v>
      </c>
      <c r="J58" s="30" t="s">
        <v>111</v>
      </c>
      <c r="K58" s="35" t="s">
        <v>120</v>
      </c>
      <c r="L58" s="44" t="str">
        <f>VLOOKUP(K58,[1]CódigosRetorno!$A$2:$B$1996,2,FALSE)</f>
        <v>El dato ingresado como atributo @listURI es incorrecto.</v>
      </c>
      <c r="M58" s="36" t="s">
        <v>67</v>
      </c>
      <c r="N58" s="5"/>
      <c r="O58" s="81"/>
    </row>
    <row r="59" spans="2:15" ht="36" x14ac:dyDescent="0.25">
      <c r="B59" s="292">
        <f>B52+1</f>
        <v>14</v>
      </c>
      <c r="C59" s="265" t="s">
        <v>208</v>
      </c>
      <c r="D59" s="339" t="s">
        <v>61</v>
      </c>
      <c r="E59" s="268" t="s">
        <v>15</v>
      </c>
      <c r="F59" s="268" t="s">
        <v>35</v>
      </c>
      <c r="G59" s="339"/>
      <c r="H59" s="339" t="s">
        <v>209</v>
      </c>
      <c r="I59" s="27" t="s">
        <v>210</v>
      </c>
      <c r="J59" s="5" t="s">
        <v>65</v>
      </c>
      <c r="K59" s="3" t="s">
        <v>211</v>
      </c>
      <c r="L59" s="44" t="str">
        <f>VLOOKUP(K59,[1]CódigosRetorno!$A$2:$B$1996,2,FALSE)</f>
        <v>El documento relacionado al traslado de mercancias se encuentra duplicado</v>
      </c>
      <c r="M59" s="5" t="s">
        <v>67</v>
      </c>
      <c r="N59" s="5"/>
      <c r="O59" s="81"/>
    </row>
    <row r="60" spans="2:15" ht="24" x14ac:dyDescent="0.25">
      <c r="B60" s="292"/>
      <c r="C60" s="265"/>
      <c r="D60" s="339"/>
      <c r="E60" s="268"/>
      <c r="F60" s="268"/>
      <c r="G60" s="339"/>
      <c r="H60" s="339"/>
      <c r="I60" s="29" t="s">
        <v>212</v>
      </c>
      <c r="J60" s="5" t="s">
        <v>65</v>
      </c>
      <c r="K60" s="3" t="s">
        <v>213</v>
      </c>
      <c r="L60" s="44" t="str">
        <f>VLOOKUP(K60,[1]CódigosRetorno!$A$2:$B$1996,2,FALSE)</f>
        <v>El XML no contiene el tag o no existe informacion del Codigo de tipo de documento relacionado</v>
      </c>
      <c r="M60" s="5" t="s">
        <v>67</v>
      </c>
      <c r="N60" s="5"/>
      <c r="O60" s="81"/>
    </row>
    <row r="61" spans="2:15" ht="72" x14ac:dyDescent="0.25">
      <c r="B61" s="292"/>
      <c r="C61" s="265"/>
      <c r="D61" s="339"/>
      <c r="E61" s="268"/>
      <c r="F61" s="268"/>
      <c r="G61" s="339"/>
      <c r="H61" s="339"/>
      <c r="I61" s="27" t="s">
        <v>214</v>
      </c>
      <c r="J61" s="5" t="s">
        <v>65</v>
      </c>
      <c r="K61" s="3" t="s">
        <v>215</v>
      </c>
      <c r="L61" s="44" t="str">
        <f>VLOOKUP(K61,[1]CódigosRetorno!$A$2:$B$1996,2,FALSE)</f>
        <v>El numero de documento relacionado al traslado de mercancias no cumple con el formato establecido</v>
      </c>
      <c r="M61" s="5" t="s">
        <v>67</v>
      </c>
      <c r="N61" s="5"/>
      <c r="O61" s="81"/>
    </row>
    <row r="62" spans="2:15" ht="72" x14ac:dyDescent="0.25">
      <c r="B62" s="292"/>
      <c r="C62" s="265"/>
      <c r="D62" s="339"/>
      <c r="E62" s="268"/>
      <c r="F62" s="268"/>
      <c r="G62" s="339"/>
      <c r="H62" s="339"/>
      <c r="I62" s="27" t="s">
        <v>216</v>
      </c>
      <c r="J62" s="5" t="s">
        <v>65</v>
      </c>
      <c r="K62" s="3" t="s">
        <v>215</v>
      </c>
      <c r="L62" s="44" t="str">
        <f>VLOOKUP(K62,[1]CódigosRetorno!$A$2:$B$1996,2,FALSE)</f>
        <v>El numero de documento relacionado al traslado de mercancias no cumple con el formato establecido</v>
      </c>
      <c r="M62" s="5" t="s">
        <v>67</v>
      </c>
      <c r="N62" s="5"/>
      <c r="O62" s="81"/>
    </row>
    <row r="63" spans="2:15" ht="72" x14ac:dyDescent="0.25">
      <c r="B63" s="292"/>
      <c r="C63" s="265"/>
      <c r="D63" s="339"/>
      <c r="E63" s="268"/>
      <c r="F63" s="268"/>
      <c r="G63" s="339"/>
      <c r="H63" s="339"/>
      <c r="I63" s="27" t="s">
        <v>217</v>
      </c>
      <c r="J63" s="5" t="s">
        <v>65</v>
      </c>
      <c r="K63" s="3" t="s">
        <v>215</v>
      </c>
      <c r="L63" s="44" t="str">
        <f>VLOOKUP(K63,[1]CódigosRetorno!$A$2:$B$1996,2,FALSE)</f>
        <v>El numero de documento relacionado al traslado de mercancias no cumple con el formato establecido</v>
      </c>
      <c r="M63" s="5" t="s">
        <v>67</v>
      </c>
      <c r="N63" s="5"/>
      <c r="O63" s="81"/>
    </row>
    <row r="64" spans="2:15" ht="60" x14ac:dyDescent="0.25">
      <c r="B64" s="292"/>
      <c r="C64" s="265"/>
      <c r="D64" s="339"/>
      <c r="E64" s="268"/>
      <c r="F64" s="268"/>
      <c r="G64" s="339"/>
      <c r="H64" s="339"/>
      <c r="I64" s="27" t="s">
        <v>224</v>
      </c>
      <c r="J64" s="5" t="s">
        <v>65</v>
      </c>
      <c r="K64" s="3" t="s">
        <v>215</v>
      </c>
      <c r="L64" s="44" t="str">
        <f>VLOOKUP(K64,[1]CódigosRetorno!$A$2:$B$1996,2,FALSE)</f>
        <v>El numero de documento relacionado al traslado de mercancias no cumple con el formato establecido</v>
      </c>
      <c r="M64" s="5" t="s">
        <v>67</v>
      </c>
      <c r="N64" s="5"/>
      <c r="O64" s="81"/>
    </row>
    <row r="65" spans="1:15" ht="24" x14ac:dyDescent="0.25">
      <c r="B65" s="292"/>
      <c r="C65" s="265"/>
      <c r="D65" s="339"/>
      <c r="E65" s="268"/>
      <c r="F65" s="268"/>
      <c r="G65" s="339"/>
      <c r="H65" s="339"/>
      <c r="I65" s="27" t="s">
        <v>222</v>
      </c>
      <c r="J65" s="5" t="s">
        <v>65</v>
      </c>
      <c r="K65" s="3" t="s">
        <v>215</v>
      </c>
      <c r="L65" s="44" t="str">
        <f>VLOOKUP(K65,[1]CódigosRetorno!$A$2:$B$1996,2,FALSE)</f>
        <v>El numero de documento relacionado al traslado de mercancias no cumple con el formato establecido</v>
      </c>
      <c r="M65" s="5" t="s">
        <v>67</v>
      </c>
      <c r="N65" s="5"/>
      <c r="O65" s="81"/>
    </row>
    <row r="66" spans="1:15" ht="36" x14ac:dyDescent="0.25">
      <c r="B66" s="292"/>
      <c r="C66" s="265"/>
      <c r="D66" s="339"/>
      <c r="E66" s="268"/>
      <c r="F66" s="268"/>
      <c r="G66" s="339"/>
      <c r="H66" s="339"/>
      <c r="I66" s="27" t="s">
        <v>219</v>
      </c>
      <c r="J66" s="5" t="s">
        <v>65</v>
      </c>
      <c r="K66" s="3" t="s">
        <v>215</v>
      </c>
      <c r="L66" s="44" t="str">
        <f>VLOOKUP(K66,[1]CódigosRetorno!$A$2:$B$1996,2,FALSE)</f>
        <v>El numero de documento relacionado al traslado de mercancias no cumple con el formato establecido</v>
      </c>
      <c r="M66" s="5" t="s">
        <v>67</v>
      </c>
      <c r="N66" s="5"/>
      <c r="O66" s="81"/>
    </row>
    <row r="67" spans="1:15" ht="48" x14ac:dyDescent="0.25">
      <c r="B67" s="292"/>
      <c r="C67" s="265"/>
      <c r="D67" s="339"/>
      <c r="E67" s="268"/>
      <c r="F67" s="268"/>
      <c r="G67" s="339"/>
      <c r="H67" s="339"/>
      <c r="I67" s="27" t="s">
        <v>220</v>
      </c>
      <c r="J67" s="5" t="s">
        <v>65</v>
      </c>
      <c r="K67" s="3" t="s">
        <v>215</v>
      </c>
      <c r="L67" s="44" t="str">
        <f>VLOOKUP(K67,[1]CódigosRetorno!$A$2:$B$1996,2,FALSE)</f>
        <v>El numero de documento relacionado al traslado de mercancias no cumple con el formato establecido</v>
      </c>
      <c r="M67" s="5" t="s">
        <v>67</v>
      </c>
      <c r="N67" s="5"/>
      <c r="O67" s="81"/>
    </row>
    <row r="68" spans="1:15" ht="84" x14ac:dyDescent="0.25">
      <c r="B68" s="292"/>
      <c r="C68" s="265"/>
      <c r="D68" s="339"/>
      <c r="E68" s="268"/>
      <c r="F68" s="268"/>
      <c r="G68" s="339"/>
      <c r="H68" s="339"/>
      <c r="I68" s="29" t="s">
        <v>994</v>
      </c>
      <c r="J68" s="5" t="s">
        <v>65</v>
      </c>
      <c r="K68" s="3" t="s">
        <v>215</v>
      </c>
      <c r="L68" s="44" t="str">
        <f>VLOOKUP(K68,[1]CódigosRetorno!$A$2:$B$1996,2,FALSE)</f>
        <v>El numero de documento relacionado al traslado de mercancias no cumple con el formato establecido</v>
      </c>
      <c r="M68" s="5" t="s">
        <v>67</v>
      </c>
      <c r="N68" s="5"/>
      <c r="O68" s="81"/>
    </row>
    <row r="69" spans="1:15" ht="72" x14ac:dyDescent="0.25">
      <c r="B69" s="292"/>
      <c r="C69" s="265"/>
      <c r="D69" s="339"/>
      <c r="E69" s="268"/>
      <c r="F69" s="268"/>
      <c r="G69" s="339"/>
      <c r="H69" s="339"/>
      <c r="I69" s="29" t="s">
        <v>995</v>
      </c>
      <c r="J69" s="5" t="s">
        <v>65</v>
      </c>
      <c r="K69" s="3" t="s">
        <v>215</v>
      </c>
      <c r="L69" s="44" t="str">
        <f>VLOOKUP(K69,[1]CódigosRetorno!$A$2:$B$1996,2,FALSE)</f>
        <v>El numero de documento relacionado al traslado de mercancias no cumple con el formato establecido</v>
      </c>
      <c r="M69" s="5" t="s">
        <v>67</v>
      </c>
      <c r="N69" s="5"/>
      <c r="O69" s="81"/>
    </row>
    <row r="70" spans="1:15" ht="48" x14ac:dyDescent="0.25">
      <c r="B70" s="292"/>
      <c r="C70" s="265"/>
      <c r="D70" s="339"/>
      <c r="E70" s="268"/>
      <c r="F70" s="268"/>
      <c r="G70" s="339"/>
      <c r="H70" s="339"/>
      <c r="I70" s="29" t="s">
        <v>996</v>
      </c>
      <c r="J70" s="5" t="s">
        <v>65</v>
      </c>
      <c r="K70" s="3" t="s">
        <v>215</v>
      </c>
      <c r="L70" s="44" t="str">
        <f>VLOOKUP(K70,[1]CódigosRetorno!$A$2:$B$1996,2,FALSE)</f>
        <v>El numero de documento relacionado al traslado de mercancias no cumple con el formato establecido</v>
      </c>
      <c r="M70" s="5" t="s">
        <v>67</v>
      </c>
      <c r="N70" s="5"/>
      <c r="O70" s="81"/>
    </row>
    <row r="71" spans="1:15" ht="36" x14ac:dyDescent="0.25">
      <c r="B71" s="292"/>
      <c r="C71" s="265"/>
      <c r="D71" s="339"/>
      <c r="E71" s="268"/>
      <c r="F71" s="268"/>
      <c r="G71" s="339"/>
      <c r="H71" s="339"/>
      <c r="I71" s="29" t="s">
        <v>233</v>
      </c>
      <c r="J71" s="5" t="s">
        <v>65</v>
      </c>
      <c r="K71" s="3" t="s">
        <v>234</v>
      </c>
      <c r="L71" s="44" t="str">
        <f>VLOOKUP(K71,[1]CódigosRetorno!$A$2:$B$1996,2,FALSE)</f>
        <v>No existe el numero de Declaracion Aduanera de Mercancias (DAM) o el Declaracion Simplificada (DS)</v>
      </c>
      <c r="M71" s="5" t="s">
        <v>244</v>
      </c>
      <c r="N71" s="5" t="s">
        <v>232</v>
      </c>
      <c r="O71" s="81"/>
    </row>
    <row r="72" spans="1:15" ht="36" x14ac:dyDescent="0.25">
      <c r="B72" s="292"/>
      <c r="C72" s="265"/>
      <c r="D72" s="339"/>
      <c r="E72" s="268"/>
      <c r="F72" s="268"/>
      <c r="G72" s="339"/>
      <c r="H72" s="339"/>
      <c r="I72" s="29" t="s">
        <v>997</v>
      </c>
      <c r="J72" s="5" t="s">
        <v>65</v>
      </c>
      <c r="K72" s="41" t="s">
        <v>231</v>
      </c>
      <c r="L72" s="44" t="str">
        <f>VLOOKUP(K72,[1]CódigosRetorno!$A$2:$B$1996,2,FALSE)</f>
        <v>La serie y numero de la GRE consignada como documento relacionado no se encuentra registrado con baja por cambio de destinatario</v>
      </c>
      <c r="M72" s="5" t="s">
        <v>244</v>
      </c>
      <c r="N72" s="5" t="s">
        <v>235</v>
      </c>
      <c r="O72" s="81"/>
    </row>
    <row r="73" spans="1:15" ht="36" x14ac:dyDescent="0.25">
      <c r="B73" s="292"/>
      <c r="C73" s="265"/>
      <c r="D73" s="339"/>
      <c r="E73" s="268"/>
      <c r="F73" s="268"/>
      <c r="G73" s="339"/>
      <c r="H73" s="339"/>
      <c r="I73" s="29" t="s">
        <v>998</v>
      </c>
      <c r="J73" s="5" t="s">
        <v>65</v>
      </c>
      <c r="K73" s="41" t="s">
        <v>243</v>
      </c>
      <c r="L73" s="44" t="str">
        <f>VLOOKUP(K73,[1]CódigosRetorno!$A$2:$B$1996,2,FALSE)</f>
        <v>La Constancia de Deposito ingresada ya ha sido referenciada en otra GRE emitida</v>
      </c>
      <c r="M73" s="5" t="s">
        <v>244</v>
      </c>
      <c r="N73" s="5" t="s">
        <v>232</v>
      </c>
      <c r="O73" s="81"/>
    </row>
    <row r="74" spans="1:15" ht="48" x14ac:dyDescent="0.25">
      <c r="B74" s="292"/>
      <c r="C74" s="265"/>
      <c r="D74" s="339"/>
      <c r="E74" s="268"/>
      <c r="F74" s="268"/>
      <c r="G74" s="339"/>
      <c r="H74" s="339"/>
      <c r="I74" s="29" t="s">
        <v>999</v>
      </c>
      <c r="J74" s="5" t="s">
        <v>111</v>
      </c>
      <c r="K74" s="3" t="s">
        <v>246</v>
      </c>
      <c r="L74" s="44" t="str">
        <f>VLOOKUP(K74,[1]CódigosRetorno!$A$2:$B$1996,2,FALSE)</f>
        <v xml:space="preserve">La SUNAT no cuenta con la informacion en los ultimos 15 dias de la Constancia de Deposito en sus sistemas </v>
      </c>
      <c r="M74" s="5" t="s">
        <v>244</v>
      </c>
      <c r="N74" s="5" t="s">
        <v>247</v>
      </c>
      <c r="O74" s="81"/>
    </row>
    <row r="75" spans="1:15" ht="36" x14ac:dyDescent="0.25">
      <c r="B75" s="292"/>
      <c r="C75" s="265"/>
      <c r="D75" s="339"/>
      <c r="E75" s="268"/>
      <c r="F75" s="268"/>
      <c r="G75" s="339"/>
      <c r="H75" s="339"/>
      <c r="I75" s="42" t="s">
        <v>1000</v>
      </c>
      <c r="J75" s="5" t="s">
        <v>65</v>
      </c>
      <c r="K75" s="3" t="s">
        <v>1001</v>
      </c>
      <c r="L75" s="44" t="str">
        <f>VLOOKUP(K75,[1]CódigosRetorno!$A$2:$B$1996,2,FALSE)</f>
        <v>La GRE remitente no existe</v>
      </c>
      <c r="M75" s="5" t="s">
        <v>85</v>
      </c>
      <c r="N75" s="28" t="s">
        <v>967</v>
      </c>
      <c r="O75" s="81"/>
    </row>
    <row r="76" spans="1:15" ht="36" x14ac:dyDescent="0.25">
      <c r="B76" s="292"/>
      <c r="C76" s="265"/>
      <c r="D76" s="339"/>
      <c r="E76" s="268"/>
      <c r="F76" s="268"/>
      <c r="G76" s="339"/>
      <c r="H76" s="339"/>
      <c r="I76" s="42" t="s">
        <v>248</v>
      </c>
      <c r="J76" s="5" t="s">
        <v>111</v>
      </c>
      <c r="K76" s="3" t="s">
        <v>249</v>
      </c>
      <c r="L76" s="44" t="str">
        <f>VLOOKUP(K76,[1]CódigosRetorno!$A$2:$B$1996,2,FALSE)</f>
        <v>El numero de comprobante consignado como documento relacionado no existe</v>
      </c>
      <c r="M76" s="5" t="s">
        <v>85</v>
      </c>
      <c r="N76" s="28" t="s">
        <v>967</v>
      </c>
      <c r="O76" s="81"/>
    </row>
    <row r="77" spans="1:15" ht="48" x14ac:dyDescent="0.25">
      <c r="B77" s="292"/>
      <c r="C77" s="265"/>
      <c r="D77" s="339"/>
      <c r="E77" s="268"/>
      <c r="F77" s="268"/>
      <c r="G77" s="339"/>
      <c r="H77" s="339"/>
      <c r="I77" s="42" t="s">
        <v>1002</v>
      </c>
      <c r="J77" s="5" t="s">
        <v>65</v>
      </c>
      <c r="K77" s="3" t="s">
        <v>251</v>
      </c>
      <c r="L77" s="44" t="str">
        <f>VLOOKUP(K77,[1]CódigosRetorno!$A$2:$B$1996,2,FALSE)</f>
        <v xml:space="preserve">Comprobante físico no se encuentra autorizado </v>
      </c>
      <c r="M77" s="28" t="s">
        <v>85</v>
      </c>
      <c r="N77" s="28" t="s">
        <v>252</v>
      </c>
      <c r="O77" s="81"/>
    </row>
    <row r="78" spans="1:15" s="8" customFormat="1" ht="24" x14ac:dyDescent="0.25">
      <c r="A78" s="72"/>
      <c r="B78" s="276">
        <f>B59+1</f>
        <v>15</v>
      </c>
      <c r="C78" s="265" t="s">
        <v>253</v>
      </c>
      <c r="D78" s="268" t="s">
        <v>61</v>
      </c>
      <c r="E78" s="268" t="s">
        <v>15</v>
      </c>
      <c r="F78" s="287" t="s">
        <v>143</v>
      </c>
      <c r="G78" s="287" t="s">
        <v>144</v>
      </c>
      <c r="H78" s="343" t="s">
        <v>1003</v>
      </c>
      <c r="I78" s="29" t="s">
        <v>1004</v>
      </c>
      <c r="J78" s="5" t="s">
        <v>65</v>
      </c>
      <c r="K78" s="3" t="s">
        <v>256</v>
      </c>
      <c r="L78" s="44" t="str">
        <f>VLOOKUP(K78,[1]CódigosRetorno!$A$2:$B$1996,2,FALSE)</f>
        <v>Debe consignar el RUC del emisor del documento relacionado</v>
      </c>
      <c r="M78" s="5" t="s">
        <v>67</v>
      </c>
      <c r="N78" s="5"/>
      <c r="O78" s="6"/>
    </row>
    <row r="79" spans="1:15" s="8" customFormat="1" ht="36" x14ac:dyDescent="0.25">
      <c r="A79" s="72"/>
      <c r="B79" s="276"/>
      <c r="C79" s="265"/>
      <c r="D79" s="268"/>
      <c r="E79" s="268"/>
      <c r="F79" s="288"/>
      <c r="G79" s="288"/>
      <c r="H79" s="344"/>
      <c r="I79" s="43" t="s">
        <v>1005</v>
      </c>
      <c r="J79" s="5" t="s">
        <v>65</v>
      </c>
      <c r="K79" s="3" t="s">
        <v>258</v>
      </c>
      <c r="L79" s="44" t="str">
        <f>VLOOKUP(K79,[1]CódigosRetorno!$A$2:$B$1996,2,FALSE)</f>
        <v>El RUC del emisor del documento relacionado no corresponde</v>
      </c>
      <c r="M79" s="5" t="s">
        <v>67</v>
      </c>
      <c r="N79" s="5"/>
      <c r="O79" s="6"/>
    </row>
    <row r="80" spans="1:15" s="8" customFormat="1" ht="36" x14ac:dyDescent="0.25">
      <c r="A80" s="72"/>
      <c r="B80" s="276"/>
      <c r="C80" s="265"/>
      <c r="D80" s="268"/>
      <c r="E80" s="268"/>
      <c r="F80" s="288"/>
      <c r="G80" s="288"/>
      <c r="H80" s="344"/>
      <c r="I80" s="43" t="s">
        <v>1006</v>
      </c>
      <c r="J80" s="5" t="s">
        <v>65</v>
      </c>
      <c r="K80" s="3" t="s">
        <v>258</v>
      </c>
      <c r="L80" s="44" t="str">
        <f>VLOOKUP(K80,[1]CódigosRetorno!$A$2:$B$1996,2,FALSE)</f>
        <v>El RUC del emisor del documento relacionado no corresponde</v>
      </c>
      <c r="M80" s="5" t="s">
        <v>67</v>
      </c>
      <c r="N80" s="5"/>
      <c r="O80" s="6"/>
    </row>
    <row r="81" spans="1:15" s="8" customFormat="1" ht="24" x14ac:dyDescent="0.25">
      <c r="A81" s="72"/>
      <c r="B81" s="276"/>
      <c r="C81" s="265"/>
      <c r="D81" s="268"/>
      <c r="E81" s="268"/>
      <c r="F81" s="291"/>
      <c r="G81" s="291"/>
      <c r="H81" s="345"/>
      <c r="I81" s="43" t="s">
        <v>264</v>
      </c>
      <c r="J81" s="5" t="s">
        <v>65</v>
      </c>
      <c r="K81" s="3" t="s">
        <v>265</v>
      </c>
      <c r="L81" s="44" t="str">
        <f>VLOOKUP(K81,[1]CódigosRetorno!$A$2:$B$1996,2,FALSE)</f>
        <v>El Numero de RUC del emisor del documento relacionado no existe</v>
      </c>
      <c r="M81" s="28" t="s">
        <v>85</v>
      </c>
      <c r="N81" s="28" t="s">
        <v>150</v>
      </c>
      <c r="O81" s="6"/>
    </row>
    <row r="82" spans="1:15" s="8" customFormat="1" ht="60" x14ac:dyDescent="0.25">
      <c r="A82" s="72"/>
      <c r="B82" s="276"/>
      <c r="C82" s="265"/>
      <c r="D82" s="268"/>
      <c r="E82" s="268"/>
      <c r="F82" s="5" t="s">
        <v>17</v>
      </c>
      <c r="G82" s="37" t="s">
        <v>127</v>
      </c>
      <c r="H82" s="29" t="s">
        <v>267</v>
      </c>
      <c r="I82" s="29" t="s">
        <v>1007</v>
      </c>
      <c r="J82" s="3" t="s">
        <v>65</v>
      </c>
      <c r="K82" s="41" t="s">
        <v>269</v>
      </c>
      <c r="L82" s="44" t="str">
        <f>VLOOKUP(K82,[1]CódigosRetorno!$A$2:$B$1996,2,FALSE)</f>
        <v>El Tipo de documento del emisor del documento relacionado debe ser Numero de RUC</v>
      </c>
      <c r="M82" s="5" t="s">
        <v>67</v>
      </c>
      <c r="N82" s="5"/>
      <c r="O82" s="6"/>
    </row>
    <row r="83" spans="1:15" s="8" customFormat="1" ht="24" x14ac:dyDescent="0.25">
      <c r="A83" s="72"/>
      <c r="B83" s="276"/>
      <c r="C83" s="265"/>
      <c r="D83" s="268"/>
      <c r="E83" s="268"/>
      <c r="F83" s="268"/>
      <c r="G83" s="37" t="s">
        <v>133</v>
      </c>
      <c r="H83" s="67" t="s">
        <v>134</v>
      </c>
      <c r="I83" s="29" t="s">
        <v>135</v>
      </c>
      <c r="J83" s="36" t="s">
        <v>111</v>
      </c>
      <c r="K83" s="3" t="s">
        <v>136</v>
      </c>
      <c r="L83" s="44" t="str">
        <f>VLOOKUP(K83,[1]CódigosRetorno!$A$2:$B$1996,2,FALSE)</f>
        <v>El dato ingresado como atributo @schemeName es incorrecto.</v>
      </c>
      <c r="M83" s="5" t="s">
        <v>67</v>
      </c>
      <c r="N83" s="5"/>
      <c r="O83" s="6"/>
    </row>
    <row r="84" spans="1:15" s="8" customFormat="1" x14ac:dyDescent="0.25">
      <c r="A84" s="72"/>
      <c r="B84" s="276"/>
      <c r="C84" s="265"/>
      <c r="D84" s="268"/>
      <c r="E84" s="268"/>
      <c r="F84" s="268"/>
      <c r="G84" s="37" t="s">
        <v>108</v>
      </c>
      <c r="H84" s="67" t="s">
        <v>137</v>
      </c>
      <c r="I84" s="29" t="s">
        <v>110</v>
      </c>
      <c r="J84" s="36" t="s">
        <v>111</v>
      </c>
      <c r="K84" s="3" t="s">
        <v>138</v>
      </c>
      <c r="L84" s="44" t="str">
        <f>VLOOKUP(K84,[1]CódigosRetorno!$A$2:$B$1996,2,FALSE)</f>
        <v>El dato ingresado como atributo @schemeAgencyName es incorrecto.</v>
      </c>
      <c r="M84" s="5" t="s">
        <v>67</v>
      </c>
      <c r="N84" s="5"/>
      <c r="O84" s="6"/>
    </row>
    <row r="85" spans="1:15" s="8" customFormat="1" ht="48" x14ac:dyDescent="0.25">
      <c r="A85" s="72"/>
      <c r="B85" s="276"/>
      <c r="C85" s="265"/>
      <c r="D85" s="268"/>
      <c r="E85" s="268"/>
      <c r="F85" s="268"/>
      <c r="G85" s="37" t="s">
        <v>270</v>
      </c>
      <c r="H85" s="67" t="s">
        <v>140</v>
      </c>
      <c r="I85" s="29" t="s">
        <v>141</v>
      </c>
      <c r="J85" s="3" t="s">
        <v>111</v>
      </c>
      <c r="K85" s="41" t="s">
        <v>142</v>
      </c>
      <c r="L85" s="44" t="str">
        <f>VLOOKUP(K85,[1]CódigosRetorno!$A$2:$B$1996,2,FALSE)</f>
        <v>El dato ingresado como atributo @schemeURI es incorrecto.</v>
      </c>
      <c r="M85" s="5" t="s">
        <v>67</v>
      </c>
      <c r="N85" s="5"/>
      <c r="O85" s="6"/>
    </row>
    <row r="86" spans="1:15" x14ac:dyDescent="0.25">
      <c r="B86" s="92" t="s">
        <v>125</v>
      </c>
      <c r="C86" s="93"/>
      <c r="D86" s="94"/>
      <c r="E86" s="95"/>
      <c r="F86" s="96"/>
      <c r="G86" s="97"/>
      <c r="H86" s="93"/>
      <c r="I86" s="93"/>
      <c r="J86" s="94"/>
      <c r="K86" s="98"/>
      <c r="L86" s="93"/>
      <c r="M86" s="94"/>
      <c r="N86" s="99"/>
      <c r="O86" s="81"/>
    </row>
    <row r="87" spans="1:15" ht="24" customHeight="1" x14ac:dyDescent="0.25">
      <c r="B87" s="295">
        <f>B78+1</f>
        <v>16</v>
      </c>
      <c r="C87" s="273" t="s">
        <v>126</v>
      </c>
      <c r="D87" s="295" t="s">
        <v>61</v>
      </c>
      <c r="E87" s="295" t="s">
        <v>5</v>
      </c>
      <c r="F87" s="295" t="s">
        <v>17</v>
      </c>
      <c r="G87" s="287" t="s">
        <v>273</v>
      </c>
      <c r="H87" s="343" t="s">
        <v>1008</v>
      </c>
      <c r="I87" s="29" t="s">
        <v>129</v>
      </c>
      <c r="J87" s="36" t="s">
        <v>65</v>
      </c>
      <c r="K87" s="41" t="s">
        <v>1009</v>
      </c>
      <c r="L87" s="44" t="str">
        <f>VLOOKUP(K87,[1]CódigosRetorno!$A$2:$B$1996,2,FALSE)</f>
        <v>El XML no contiene el tag o no existe informacion del tipo de documento identidad del remitente.</v>
      </c>
      <c r="M87" s="36" t="s">
        <v>67</v>
      </c>
      <c r="N87" s="5" t="s">
        <v>58</v>
      </c>
      <c r="O87" s="81"/>
    </row>
    <row r="88" spans="1:15" ht="36" x14ac:dyDescent="0.25">
      <c r="B88" s="296"/>
      <c r="C88" s="279"/>
      <c r="D88" s="296"/>
      <c r="E88" s="296"/>
      <c r="F88" s="297"/>
      <c r="G88" s="291"/>
      <c r="H88" s="345"/>
      <c r="I88" s="29" t="s">
        <v>1010</v>
      </c>
      <c r="J88" s="36" t="s">
        <v>65</v>
      </c>
      <c r="K88" s="41" t="s">
        <v>1011</v>
      </c>
      <c r="L88" s="44" t="str">
        <f>VLOOKUP(K88,[1]CódigosRetorno!$A$2:$B$1996,2,FALSE)</f>
        <v>cac:DespatchSupplierParty/cbc:CustomerAssignedAccountID@schemeID - El valor ingresado como tipo de documento identidad del remitente es incorrecta.</v>
      </c>
      <c r="M88" s="36" t="s">
        <v>67</v>
      </c>
      <c r="N88" s="5" t="s">
        <v>279</v>
      </c>
      <c r="O88" s="81"/>
    </row>
    <row r="89" spans="1:15" ht="24" x14ac:dyDescent="0.25">
      <c r="B89" s="296"/>
      <c r="C89" s="279"/>
      <c r="D89" s="296"/>
      <c r="E89" s="296"/>
      <c r="F89" s="296"/>
      <c r="G89" s="5" t="s">
        <v>133</v>
      </c>
      <c r="H89" s="29" t="s">
        <v>134</v>
      </c>
      <c r="I89" s="29" t="s">
        <v>135</v>
      </c>
      <c r="J89" s="36" t="s">
        <v>111</v>
      </c>
      <c r="K89" s="41" t="s">
        <v>136</v>
      </c>
      <c r="L89" s="44" t="str">
        <f>VLOOKUP(K89,[1]CódigosRetorno!$A$2:$B$1996,2,FALSE)</f>
        <v>El dato ingresado como atributo @schemeName es incorrecto.</v>
      </c>
      <c r="M89" s="36" t="s">
        <v>67</v>
      </c>
      <c r="N89" s="5"/>
      <c r="O89" s="81"/>
    </row>
    <row r="90" spans="1:15" x14ac:dyDescent="0.25">
      <c r="B90" s="296"/>
      <c r="C90" s="279"/>
      <c r="D90" s="296"/>
      <c r="E90" s="296"/>
      <c r="F90" s="296"/>
      <c r="G90" s="5" t="s">
        <v>108</v>
      </c>
      <c r="H90" s="29" t="s">
        <v>137</v>
      </c>
      <c r="I90" s="29" t="s">
        <v>110</v>
      </c>
      <c r="J90" s="36" t="s">
        <v>111</v>
      </c>
      <c r="K90" s="41" t="s">
        <v>138</v>
      </c>
      <c r="L90" s="44" t="str">
        <f>VLOOKUP(K90,[1]CódigosRetorno!$A$2:$B$1996,2,FALSE)</f>
        <v>El dato ingresado como atributo @schemeAgencyName es incorrecto.</v>
      </c>
      <c r="M90" s="36" t="s">
        <v>67</v>
      </c>
      <c r="N90" s="5"/>
      <c r="O90" s="81"/>
    </row>
    <row r="91" spans="1:15" ht="36" x14ac:dyDescent="0.25">
      <c r="B91" s="296"/>
      <c r="C91" s="279"/>
      <c r="D91" s="296"/>
      <c r="E91" s="296"/>
      <c r="F91" s="297"/>
      <c r="G91" s="5" t="s">
        <v>139</v>
      </c>
      <c r="H91" s="29" t="s">
        <v>140</v>
      </c>
      <c r="I91" s="29" t="s">
        <v>141</v>
      </c>
      <c r="J91" s="36" t="s">
        <v>111</v>
      </c>
      <c r="K91" s="41" t="s">
        <v>142</v>
      </c>
      <c r="L91" s="44" t="str">
        <f>VLOOKUP(K91,[1]CódigosRetorno!$A$2:$B$1996,2,FALSE)</f>
        <v>El dato ingresado como atributo @schemeURI es incorrecto.</v>
      </c>
      <c r="M91" s="36" t="s">
        <v>67</v>
      </c>
      <c r="N91" s="5"/>
      <c r="O91" s="81"/>
    </row>
    <row r="92" spans="1:15" x14ac:dyDescent="0.25">
      <c r="B92" s="296"/>
      <c r="C92" s="279"/>
      <c r="D92" s="296"/>
      <c r="E92" s="296"/>
      <c r="F92" s="295" t="s">
        <v>18</v>
      </c>
      <c r="G92" s="287"/>
      <c r="H92" s="343" t="s">
        <v>1012</v>
      </c>
      <c r="I92" s="29" t="s">
        <v>64</v>
      </c>
      <c r="J92" s="36" t="s">
        <v>65</v>
      </c>
      <c r="K92" s="41" t="s">
        <v>1013</v>
      </c>
      <c r="L92" s="44" t="str">
        <f>VLOOKUP(K92,[1]CódigosRetorno!$A$2:$B$1996,2,FALSE)</f>
        <v>Debe consignar el Numero de documento de identidad del Remitente</v>
      </c>
      <c r="M92" s="36" t="s">
        <v>67</v>
      </c>
      <c r="N92" s="5"/>
      <c r="O92" s="81"/>
    </row>
    <row r="93" spans="1:15" ht="24" x14ac:dyDescent="0.25">
      <c r="B93" s="296"/>
      <c r="C93" s="279"/>
      <c r="D93" s="296"/>
      <c r="E93" s="296"/>
      <c r="F93" s="296"/>
      <c r="G93" s="288"/>
      <c r="H93" s="344"/>
      <c r="I93" s="29" t="s">
        <v>1014</v>
      </c>
      <c r="J93" s="36" t="s">
        <v>65</v>
      </c>
      <c r="K93" s="41" t="s">
        <v>556</v>
      </c>
      <c r="L93" s="44" t="str">
        <f>VLOOKUP(K93,[1]CódigosRetorno!$A$2:$B$1996,2,FALSE)</f>
        <v>Transportista no debe ser igual al remitente</v>
      </c>
      <c r="M93" s="36" t="s">
        <v>67</v>
      </c>
      <c r="N93" s="5"/>
      <c r="O93" s="81"/>
    </row>
    <row r="94" spans="1:15" ht="24" x14ac:dyDescent="0.25">
      <c r="B94" s="296"/>
      <c r="C94" s="279"/>
      <c r="D94" s="296"/>
      <c r="E94" s="296"/>
      <c r="F94" s="296"/>
      <c r="G94" s="288"/>
      <c r="H94" s="344"/>
      <c r="I94" s="29" t="s">
        <v>1015</v>
      </c>
      <c r="J94" s="36" t="s">
        <v>65</v>
      </c>
      <c r="K94" s="41" t="s">
        <v>1016</v>
      </c>
      <c r="L94" s="44" t="str">
        <f>VLOOKUP(K94,[1]CódigosRetorno!$A$2:$B$1996,2,FALSE)</f>
        <v>El Numero de documento de identidad del Remitente no cumple con el formato establecido</v>
      </c>
      <c r="M94" s="36" t="s">
        <v>67</v>
      </c>
      <c r="N94" s="5"/>
      <c r="O94" s="81"/>
    </row>
    <row r="95" spans="1:15" ht="24" x14ac:dyDescent="0.25">
      <c r="B95" s="296"/>
      <c r="C95" s="279"/>
      <c r="D95" s="296"/>
      <c r="E95" s="296"/>
      <c r="F95" s="296"/>
      <c r="G95" s="288"/>
      <c r="H95" s="344"/>
      <c r="I95" s="29" t="s">
        <v>1017</v>
      </c>
      <c r="J95" s="36" t="s">
        <v>65</v>
      </c>
      <c r="K95" s="41" t="s">
        <v>1018</v>
      </c>
      <c r="L95" s="44" t="str">
        <f>VLOOKUP(K95,[1]CódigosRetorno!$A$2:$B$1996,2,FALSE)</f>
        <v>El Numero de RUC del Remitente no existe</v>
      </c>
      <c r="M95" s="36" t="s">
        <v>244</v>
      </c>
      <c r="N95" s="5" t="s">
        <v>150</v>
      </c>
      <c r="O95" s="81"/>
    </row>
    <row r="96" spans="1:15" ht="24" x14ac:dyDescent="0.25">
      <c r="B96" s="296"/>
      <c r="C96" s="279"/>
      <c r="D96" s="296"/>
      <c r="E96" s="296"/>
      <c r="F96" s="296"/>
      <c r="G96" s="288"/>
      <c r="H96" s="344"/>
      <c r="I96" s="29" t="s">
        <v>1019</v>
      </c>
      <c r="J96" s="36" t="s">
        <v>111</v>
      </c>
      <c r="K96" s="41" t="s">
        <v>1020</v>
      </c>
      <c r="L96" s="44" t="str">
        <f>VLOOKUP(K96,[1]CódigosRetorno!$A$2:$B$1996,2,FALSE)</f>
        <v>El Numero de RUC del Remitente no esta activo</v>
      </c>
      <c r="M96" s="36" t="s">
        <v>244</v>
      </c>
      <c r="N96" s="5" t="s">
        <v>150</v>
      </c>
      <c r="O96" s="81"/>
    </row>
    <row r="97" spans="2:15" ht="24" x14ac:dyDescent="0.25">
      <c r="B97" s="296"/>
      <c r="C97" s="279"/>
      <c r="D97" s="296"/>
      <c r="E97" s="296"/>
      <c r="F97" s="296"/>
      <c r="G97" s="288"/>
      <c r="H97" s="344"/>
      <c r="I97" s="29" t="s">
        <v>1021</v>
      </c>
      <c r="J97" s="36" t="s">
        <v>111</v>
      </c>
      <c r="K97" s="41" t="s">
        <v>1022</v>
      </c>
      <c r="L97" s="44" t="str">
        <f>VLOOKUP(K97,[1]CódigosRetorno!$A$2:$B$1996,2,FALSE)</f>
        <v>El Numero de RUC del Remitente no esta habido</v>
      </c>
      <c r="M97" s="36" t="s">
        <v>244</v>
      </c>
      <c r="N97" s="5" t="s">
        <v>150</v>
      </c>
      <c r="O97" s="81"/>
    </row>
    <row r="98" spans="2:15" ht="24" x14ac:dyDescent="0.25">
      <c r="B98" s="296"/>
      <c r="C98" s="279"/>
      <c r="D98" s="296"/>
      <c r="E98" s="296"/>
      <c r="F98" s="296"/>
      <c r="G98" s="288"/>
      <c r="H98" s="344"/>
      <c r="I98" s="29" t="s">
        <v>299</v>
      </c>
      <c r="J98" s="36" t="s">
        <v>65</v>
      </c>
      <c r="K98" s="41" t="s">
        <v>1016</v>
      </c>
      <c r="L98" s="44" t="str">
        <f>VLOOKUP(K98,[1]CódigosRetorno!$A$2:$B$1996,2,FALSE)</f>
        <v>El Numero de documento de identidad del Remitente no cumple con el formato establecido</v>
      </c>
      <c r="M98" s="36" t="s">
        <v>67</v>
      </c>
      <c r="N98" s="5"/>
      <c r="O98" s="81"/>
    </row>
    <row r="99" spans="2:15" ht="36" x14ac:dyDescent="0.25">
      <c r="B99" s="296"/>
      <c r="C99" s="279"/>
      <c r="D99" s="296"/>
      <c r="E99" s="296"/>
      <c r="F99" s="296"/>
      <c r="G99" s="288"/>
      <c r="H99" s="344"/>
      <c r="I99" s="29" t="s">
        <v>1023</v>
      </c>
      <c r="J99" s="36" t="s">
        <v>65</v>
      </c>
      <c r="K99" s="41" t="s">
        <v>1024</v>
      </c>
      <c r="L99" s="44" t="str">
        <f>VLOOKUP(K99,[1]CódigosRetorno!$A$2:$B$1996,2,FALSE)</f>
        <v>El Numero de DNI del Remitente no existe</v>
      </c>
      <c r="M99" s="36" t="s">
        <v>244</v>
      </c>
      <c r="N99" s="5" t="s">
        <v>302</v>
      </c>
      <c r="O99" s="81"/>
    </row>
    <row r="100" spans="2:15" ht="48" x14ac:dyDescent="0.25">
      <c r="B100" s="296"/>
      <c r="C100" s="279"/>
      <c r="D100" s="296"/>
      <c r="E100" s="296"/>
      <c r="F100" s="296"/>
      <c r="G100" s="288"/>
      <c r="H100" s="344"/>
      <c r="I100" s="29" t="s">
        <v>1025</v>
      </c>
      <c r="J100" s="36" t="s">
        <v>65</v>
      </c>
      <c r="K100" s="3" t="s">
        <v>1016</v>
      </c>
      <c r="L100" s="44" t="str">
        <f>VLOOKUP(K100,[1]CódigosRetorno!$A$2:$B$1996,2,FALSE)</f>
        <v>El Numero de documento de identidad del Remitente no cumple con el formato establecido</v>
      </c>
      <c r="M100" s="36" t="s">
        <v>67</v>
      </c>
      <c r="N100" s="5"/>
      <c r="O100" s="81"/>
    </row>
    <row r="101" spans="2:15" x14ac:dyDescent="0.25">
      <c r="B101" s="295">
        <f>B87+1</f>
        <v>17</v>
      </c>
      <c r="C101" s="273" t="s">
        <v>1026</v>
      </c>
      <c r="D101" s="295" t="s">
        <v>61</v>
      </c>
      <c r="E101" s="295" t="s">
        <v>5</v>
      </c>
      <c r="F101" s="295" t="s">
        <v>36</v>
      </c>
      <c r="G101" s="295"/>
      <c r="H101" s="343" t="s">
        <v>1027</v>
      </c>
      <c r="I101" s="29" t="s">
        <v>64</v>
      </c>
      <c r="J101" s="36" t="s">
        <v>65</v>
      </c>
      <c r="K101" s="41" t="s">
        <v>1028</v>
      </c>
      <c r="L101" s="44" t="str">
        <f>VLOOKUP(K101,[1]CódigosRetorno!$A$2:$B$1996,2,FALSE)</f>
        <v>Debe consignar el Nombre o razon social del Remitente</v>
      </c>
      <c r="M101" s="36" t="s">
        <v>67</v>
      </c>
      <c r="N101" s="5"/>
      <c r="O101" s="81"/>
    </row>
    <row r="102" spans="2:15" ht="48" x14ac:dyDescent="0.25">
      <c r="B102" s="297"/>
      <c r="C102" s="274"/>
      <c r="D102" s="297"/>
      <c r="E102" s="297"/>
      <c r="F102" s="297"/>
      <c r="G102" s="297"/>
      <c r="H102" s="345"/>
      <c r="I102" s="29" t="s">
        <v>981</v>
      </c>
      <c r="J102" s="36" t="s">
        <v>111</v>
      </c>
      <c r="K102" s="41" t="s">
        <v>1029</v>
      </c>
      <c r="L102" s="44" t="str">
        <f>VLOOKUP(K102,[1]CódigosRetorno!$A$2:$B$1996,2,FALSE)</f>
        <v>El nombre o razon social del Remitente no cumple con el formato establecido</v>
      </c>
      <c r="M102" s="36" t="s">
        <v>67</v>
      </c>
      <c r="N102" s="5"/>
      <c r="O102" s="81"/>
    </row>
    <row r="103" spans="2:15" x14ac:dyDescent="0.25">
      <c r="B103" s="92" t="s">
        <v>271</v>
      </c>
      <c r="C103" s="93"/>
      <c r="D103" s="94"/>
      <c r="E103" s="95"/>
      <c r="F103" s="96"/>
      <c r="G103" s="97"/>
      <c r="H103" s="93"/>
      <c r="I103" s="93"/>
      <c r="J103" s="94"/>
      <c r="K103" s="98"/>
      <c r="L103" s="93"/>
      <c r="M103" s="94"/>
      <c r="N103" s="99"/>
      <c r="O103" s="81"/>
    </row>
    <row r="104" spans="2:15" ht="24" x14ac:dyDescent="0.25">
      <c r="B104" s="295">
        <f>B101+1</f>
        <v>18</v>
      </c>
      <c r="C104" s="273" t="s">
        <v>272</v>
      </c>
      <c r="D104" s="295" t="s">
        <v>61</v>
      </c>
      <c r="E104" s="346" t="s">
        <v>5</v>
      </c>
      <c r="F104" s="295" t="s">
        <v>17</v>
      </c>
      <c r="G104" s="287" t="s">
        <v>273</v>
      </c>
      <c r="H104" s="343" t="s">
        <v>1030</v>
      </c>
      <c r="I104" s="44" t="s">
        <v>1031</v>
      </c>
      <c r="J104" s="36" t="s">
        <v>65</v>
      </c>
      <c r="K104" s="41" t="s">
        <v>276</v>
      </c>
      <c r="L104" s="44" t="str">
        <f>VLOOKUP(K104,[1]CódigosRetorno!$A$2:$B$1996,2,FALSE)</f>
        <v>El XML no contiene el atributo o no existe información del tipo de documento del destinatario.</v>
      </c>
      <c r="M104" s="36" t="s">
        <v>67</v>
      </c>
      <c r="N104" s="5"/>
      <c r="O104" s="81"/>
    </row>
    <row r="105" spans="2:15" ht="24" x14ac:dyDescent="0.25">
      <c r="B105" s="296"/>
      <c r="C105" s="279"/>
      <c r="D105" s="296"/>
      <c r="E105" s="348"/>
      <c r="F105" s="297"/>
      <c r="G105" s="291"/>
      <c r="H105" s="345"/>
      <c r="I105" s="29" t="s">
        <v>737</v>
      </c>
      <c r="J105" s="36" t="s">
        <v>65</v>
      </c>
      <c r="K105" s="41" t="s">
        <v>278</v>
      </c>
      <c r="L105" s="44" t="str">
        <f>VLOOKUP(K105,[1]CódigosRetorno!$A$2:$B$1996,2,FALSE)</f>
        <v>El valor ingresado como tipo de documento del destinatario es incorrecto.</v>
      </c>
      <c r="M105" s="36" t="s">
        <v>67</v>
      </c>
      <c r="N105" s="5" t="s">
        <v>279</v>
      </c>
      <c r="O105" s="81"/>
    </row>
    <row r="106" spans="2:15" ht="24" x14ac:dyDescent="0.25">
      <c r="B106" s="296"/>
      <c r="C106" s="279"/>
      <c r="D106" s="296"/>
      <c r="E106" s="348"/>
      <c r="F106" s="296"/>
      <c r="G106" s="5" t="s">
        <v>133</v>
      </c>
      <c r="H106" s="29" t="s">
        <v>134</v>
      </c>
      <c r="I106" s="29" t="s">
        <v>135</v>
      </c>
      <c r="J106" s="36" t="s">
        <v>111</v>
      </c>
      <c r="K106" s="41" t="s">
        <v>136</v>
      </c>
      <c r="L106" s="44" t="str">
        <f>VLOOKUP(K106,[1]CódigosRetorno!$A$2:$B$1996,2,FALSE)</f>
        <v>El dato ingresado como atributo @schemeName es incorrecto.</v>
      </c>
      <c r="M106" s="36" t="s">
        <v>67</v>
      </c>
      <c r="N106" s="5"/>
      <c r="O106" s="81"/>
    </row>
    <row r="107" spans="2:15" x14ac:dyDescent="0.25">
      <c r="B107" s="296"/>
      <c r="C107" s="279"/>
      <c r="D107" s="296"/>
      <c r="E107" s="348"/>
      <c r="F107" s="296"/>
      <c r="G107" s="5" t="s">
        <v>108</v>
      </c>
      <c r="H107" s="29" t="s">
        <v>137</v>
      </c>
      <c r="I107" s="29" t="s">
        <v>110</v>
      </c>
      <c r="J107" s="36" t="s">
        <v>111</v>
      </c>
      <c r="K107" s="41" t="s">
        <v>138</v>
      </c>
      <c r="L107" s="44" t="str">
        <f>VLOOKUP(K107,[1]CódigosRetorno!$A$2:$B$1996,2,FALSE)</f>
        <v>El dato ingresado como atributo @schemeAgencyName es incorrecto.</v>
      </c>
      <c r="M107" s="36" t="s">
        <v>67</v>
      </c>
      <c r="N107" s="5"/>
      <c r="O107" s="81"/>
    </row>
    <row r="108" spans="2:15" ht="36" x14ac:dyDescent="0.25">
      <c r="B108" s="296"/>
      <c r="C108" s="279"/>
      <c r="D108" s="296"/>
      <c r="E108" s="348"/>
      <c r="F108" s="297"/>
      <c r="G108" s="5" t="s">
        <v>139</v>
      </c>
      <c r="H108" s="29" t="s">
        <v>140</v>
      </c>
      <c r="I108" s="29" t="s">
        <v>141</v>
      </c>
      <c r="J108" s="36" t="s">
        <v>111</v>
      </c>
      <c r="K108" s="41" t="s">
        <v>142</v>
      </c>
      <c r="L108" s="44" t="str">
        <f>VLOOKUP(K108,[1]CódigosRetorno!$A$2:$B$1996,2,FALSE)</f>
        <v>El dato ingresado como atributo @schemeURI es incorrecto.</v>
      </c>
      <c r="M108" s="36" t="s">
        <v>67</v>
      </c>
      <c r="N108" s="5"/>
      <c r="O108" s="81"/>
    </row>
    <row r="109" spans="2:15" ht="24" x14ac:dyDescent="0.25">
      <c r="B109" s="296"/>
      <c r="C109" s="279"/>
      <c r="D109" s="296"/>
      <c r="E109" s="348"/>
      <c r="F109" s="287" t="s">
        <v>18</v>
      </c>
      <c r="G109" s="287"/>
      <c r="H109" s="343" t="s">
        <v>1032</v>
      </c>
      <c r="I109" s="33" t="s">
        <v>283</v>
      </c>
      <c r="J109" s="36" t="s">
        <v>65</v>
      </c>
      <c r="K109" s="41" t="s">
        <v>284</v>
      </c>
      <c r="L109" s="44" t="str">
        <f>VLOOKUP(K109,[1]CódigosRetorno!$A$2:$B$1996,2,FALSE)</f>
        <v>El XML no contiene el tag o no existe información del número de documento de identidad del destinatario.</v>
      </c>
      <c r="M109" s="36" t="s">
        <v>67</v>
      </c>
      <c r="N109" s="5"/>
      <c r="O109" s="81"/>
    </row>
    <row r="110" spans="2:15" ht="24" x14ac:dyDescent="0.25">
      <c r="B110" s="296"/>
      <c r="C110" s="279"/>
      <c r="D110" s="296"/>
      <c r="E110" s="348"/>
      <c r="F110" s="288"/>
      <c r="G110" s="288"/>
      <c r="H110" s="344"/>
      <c r="I110" s="29" t="s">
        <v>1033</v>
      </c>
      <c r="J110" s="36" t="s">
        <v>65</v>
      </c>
      <c r="K110" s="41" t="s">
        <v>292</v>
      </c>
      <c r="L110" s="44" t="str">
        <f>VLOOKUP(K110,[1]CódigosRetorno!$A$2:$B$1996,2,FALSE)</f>
        <v>El valor ingresado como numero de documento de identidad del destinatario no cumple con el estandar.</v>
      </c>
      <c r="M110" s="36" t="s">
        <v>67</v>
      </c>
      <c r="N110" s="5"/>
      <c r="O110" s="81"/>
    </row>
    <row r="111" spans="2:15" ht="24" x14ac:dyDescent="0.25">
      <c r="B111" s="296"/>
      <c r="C111" s="279"/>
      <c r="D111" s="296"/>
      <c r="E111" s="348"/>
      <c r="F111" s="288"/>
      <c r="G111" s="288"/>
      <c r="H111" s="344"/>
      <c r="I111" s="29" t="s">
        <v>1034</v>
      </c>
      <c r="J111" s="36" t="s">
        <v>65</v>
      </c>
      <c r="K111" s="41" t="s">
        <v>294</v>
      </c>
      <c r="L111" s="44" t="str">
        <f>VLOOKUP(K111,[1]CódigosRetorno!$A$2:$B$1996,2,FALSE)</f>
        <v>El Numero de RUC del Destinatario no existe</v>
      </c>
      <c r="M111" s="36" t="s">
        <v>244</v>
      </c>
      <c r="N111" s="5" t="s">
        <v>150</v>
      </c>
      <c r="O111" s="81"/>
    </row>
    <row r="112" spans="2:15" ht="24" x14ac:dyDescent="0.25">
      <c r="B112" s="296"/>
      <c r="C112" s="279"/>
      <c r="D112" s="296"/>
      <c r="E112" s="348"/>
      <c r="F112" s="288"/>
      <c r="G112" s="288"/>
      <c r="H112" s="344"/>
      <c r="I112" s="29" t="s">
        <v>1035</v>
      </c>
      <c r="J112" s="36" t="s">
        <v>111</v>
      </c>
      <c r="K112" s="41" t="s">
        <v>296</v>
      </c>
      <c r="L112" s="44" t="str">
        <f>VLOOKUP(K112,[1]CódigosRetorno!$A$2:$B$1996,2,FALSE)</f>
        <v>El RUC del Destinatario no esta activo</v>
      </c>
      <c r="M112" s="36" t="s">
        <v>244</v>
      </c>
      <c r="N112" s="5" t="s">
        <v>150</v>
      </c>
      <c r="O112" s="81"/>
    </row>
    <row r="113" spans="2:15" ht="24" x14ac:dyDescent="0.25">
      <c r="B113" s="296"/>
      <c r="C113" s="279"/>
      <c r="D113" s="296"/>
      <c r="E113" s="348"/>
      <c r="F113" s="288"/>
      <c r="G113" s="288"/>
      <c r="H113" s="344"/>
      <c r="I113" s="29" t="s">
        <v>1036</v>
      </c>
      <c r="J113" s="36" t="s">
        <v>111</v>
      </c>
      <c r="K113" s="41" t="s">
        <v>298</v>
      </c>
      <c r="L113" s="44" t="str">
        <f>VLOOKUP(K113,[1]CódigosRetorno!$A$2:$B$1996,2,FALSE)</f>
        <v>El RUC del destinatario no esta habido</v>
      </c>
      <c r="M113" s="36" t="s">
        <v>244</v>
      </c>
      <c r="N113" s="5" t="s">
        <v>150</v>
      </c>
      <c r="O113" s="81"/>
    </row>
    <row r="114" spans="2:15" ht="24" x14ac:dyDescent="0.25">
      <c r="B114" s="296"/>
      <c r="C114" s="279"/>
      <c r="D114" s="296"/>
      <c r="E114" s="348"/>
      <c r="F114" s="288"/>
      <c r="G114" s="288"/>
      <c r="H114" s="344"/>
      <c r="I114" s="29" t="s">
        <v>1037</v>
      </c>
      <c r="J114" s="36" t="s">
        <v>65</v>
      </c>
      <c r="K114" s="41" t="s">
        <v>292</v>
      </c>
      <c r="L114" s="44" t="str">
        <f>VLOOKUP(K114,[1]CódigosRetorno!$A$2:$B$1996,2,FALSE)</f>
        <v>El valor ingresado como numero de documento de identidad del destinatario no cumple con el estandar.</v>
      </c>
      <c r="M114" s="36" t="s">
        <v>67</v>
      </c>
      <c r="N114" s="5"/>
      <c r="O114" s="81"/>
    </row>
    <row r="115" spans="2:15" ht="24" x14ac:dyDescent="0.25">
      <c r="B115" s="296"/>
      <c r="C115" s="279"/>
      <c r="D115" s="296"/>
      <c r="E115" s="348"/>
      <c r="F115" s="288"/>
      <c r="G115" s="288"/>
      <c r="H115" s="344"/>
      <c r="I115" s="29" t="s">
        <v>1038</v>
      </c>
      <c r="J115" s="36" t="s">
        <v>65</v>
      </c>
      <c r="K115" s="41" t="s">
        <v>301</v>
      </c>
      <c r="L115" s="44" t="str">
        <f>VLOOKUP(K115,[1]CódigosRetorno!$A$2:$B$1996,2,FALSE)</f>
        <v>El Numero de DNI del Destinatario no existe</v>
      </c>
      <c r="M115" s="36" t="s">
        <v>244</v>
      </c>
      <c r="N115" s="5" t="s">
        <v>302</v>
      </c>
      <c r="O115" s="81"/>
    </row>
    <row r="116" spans="2:15" ht="48" x14ac:dyDescent="0.25">
      <c r="B116" s="296"/>
      <c r="C116" s="279"/>
      <c r="D116" s="296"/>
      <c r="E116" s="348"/>
      <c r="F116" s="288"/>
      <c r="G116" s="288"/>
      <c r="H116" s="344"/>
      <c r="I116" s="29" t="s">
        <v>303</v>
      </c>
      <c r="J116" s="36" t="s">
        <v>65</v>
      </c>
      <c r="K116" s="41" t="s">
        <v>292</v>
      </c>
      <c r="L116" s="44" t="str">
        <f>VLOOKUP(K116,[1]CódigosRetorno!$A$2:$B$1996,2,FALSE)</f>
        <v>El valor ingresado como numero de documento de identidad del destinatario no cumple con el estandar.</v>
      </c>
      <c r="M116" s="36" t="s">
        <v>67</v>
      </c>
      <c r="N116" s="5"/>
      <c r="O116" s="81"/>
    </row>
    <row r="117" spans="2:15" ht="48" x14ac:dyDescent="0.25">
      <c r="B117" s="297"/>
      <c r="C117" s="274"/>
      <c r="D117" s="297"/>
      <c r="E117" s="347"/>
      <c r="F117" s="291"/>
      <c r="G117" s="291"/>
      <c r="H117" s="345"/>
      <c r="I117" s="29" t="s">
        <v>1039</v>
      </c>
      <c r="J117" s="36" t="s">
        <v>65</v>
      </c>
      <c r="K117" s="41" t="s">
        <v>1040</v>
      </c>
      <c r="L117" s="44" t="str">
        <f>VLOOKUP(K117,[1]CódigosRetorno!$A$2:$B$1996,2,FALSE)</f>
        <v>Si existe una GRE Remitente como documento relacionado, el tipo y numero de documento de identidad del Destinatario deben ser los mismos que del destinatario consignado en la GRE Remitente</v>
      </c>
      <c r="M117" s="36" t="s">
        <v>85</v>
      </c>
      <c r="N117" s="5" t="s">
        <v>232</v>
      </c>
      <c r="O117" s="81"/>
    </row>
    <row r="118" spans="2:15" ht="24" x14ac:dyDescent="0.25">
      <c r="B118" s="295">
        <f>B104+1</f>
        <v>19</v>
      </c>
      <c r="C118" s="273" t="s">
        <v>1041</v>
      </c>
      <c r="D118" s="295" t="s">
        <v>61</v>
      </c>
      <c r="E118" s="346" t="s">
        <v>5</v>
      </c>
      <c r="F118" s="287" t="s">
        <v>36</v>
      </c>
      <c r="G118" s="287"/>
      <c r="H118" s="343" t="s">
        <v>305</v>
      </c>
      <c r="I118" s="44" t="s">
        <v>283</v>
      </c>
      <c r="J118" s="36" t="s">
        <v>65</v>
      </c>
      <c r="K118" s="41" t="s">
        <v>306</v>
      </c>
      <c r="L118" s="44" t="str">
        <f>VLOOKUP(K118,[1]CódigosRetorno!$A$2:$B$1996,2,FALSE)</f>
        <v>El XML no contiene el atributo o no existe información del nombre o razon social del destinatario.</v>
      </c>
      <c r="M118" s="36" t="s">
        <v>67</v>
      </c>
      <c r="N118" s="5"/>
      <c r="O118" s="81"/>
    </row>
    <row r="119" spans="2:15" ht="60" x14ac:dyDescent="0.25">
      <c r="B119" s="297"/>
      <c r="C119" s="274"/>
      <c r="D119" s="297"/>
      <c r="E119" s="347"/>
      <c r="F119" s="291"/>
      <c r="G119" s="291"/>
      <c r="H119" s="345"/>
      <c r="I119" s="27" t="s">
        <v>1042</v>
      </c>
      <c r="J119" s="36" t="s">
        <v>111</v>
      </c>
      <c r="K119" s="41" t="s">
        <v>308</v>
      </c>
      <c r="L119" s="44" t="str">
        <f>VLOOKUP(K119,[1]CódigosRetorno!$A$2:$B$1996,2,FALSE)</f>
        <v>Nombre o razon social del destinatario no cumple con un formato válido</v>
      </c>
      <c r="M119" s="36" t="s">
        <v>67</v>
      </c>
      <c r="N119" s="5"/>
      <c r="O119" s="81"/>
    </row>
    <row r="120" spans="2:15" x14ac:dyDescent="0.25">
      <c r="B120" s="92" t="s">
        <v>1043</v>
      </c>
      <c r="C120" s="93"/>
      <c r="D120" s="94"/>
      <c r="E120" s="95"/>
      <c r="F120" s="96"/>
      <c r="G120" s="97"/>
      <c r="H120" s="93"/>
      <c r="I120" s="93"/>
      <c r="J120" s="94"/>
      <c r="K120" s="98"/>
      <c r="L120" s="93"/>
      <c r="M120" s="94"/>
      <c r="N120" s="99"/>
      <c r="O120" s="81"/>
    </row>
    <row r="121" spans="2:15" ht="108" x14ac:dyDescent="0.25">
      <c r="B121" s="295">
        <f>B118+1</f>
        <v>20</v>
      </c>
      <c r="C121" s="273" t="s">
        <v>829</v>
      </c>
      <c r="D121" s="295" t="s">
        <v>830</v>
      </c>
      <c r="E121" s="295" t="s">
        <v>15</v>
      </c>
      <c r="F121" s="268" t="s">
        <v>831</v>
      </c>
      <c r="G121" s="287"/>
      <c r="H121" s="343" t="s">
        <v>832</v>
      </c>
      <c r="I121" s="44" t="s">
        <v>1044</v>
      </c>
      <c r="J121" s="36" t="s">
        <v>65</v>
      </c>
      <c r="K121" s="41" t="s">
        <v>1045</v>
      </c>
      <c r="L121" s="44" t="str">
        <f>VLOOKUP(K121,[1]CódigosRetorno!$A$2:$B$1996,2,FALSE)</f>
        <v>Debe consignar el detalle de los bienes a transportar</v>
      </c>
      <c r="M121" s="36" t="s">
        <v>67</v>
      </c>
      <c r="N121" s="5"/>
      <c r="O121" s="81"/>
    </row>
    <row r="122" spans="2:15" ht="144" x14ac:dyDescent="0.25">
      <c r="B122" s="296"/>
      <c r="C122" s="279"/>
      <c r="D122" s="296"/>
      <c r="E122" s="296"/>
      <c r="F122" s="268"/>
      <c r="G122" s="288"/>
      <c r="H122" s="344"/>
      <c r="I122" s="44" t="s">
        <v>1046</v>
      </c>
      <c r="J122" s="36" t="s">
        <v>111</v>
      </c>
      <c r="K122" s="41" t="s">
        <v>1047</v>
      </c>
      <c r="L122" s="44" t="str">
        <f>VLOOKUP(K122,[1]CódigosRetorno!$A$2:$B$1996,2,FALSE)</f>
        <v>No corresponde consignar el detalle de los bienes a transportar</v>
      </c>
      <c r="M122" s="36" t="s">
        <v>67</v>
      </c>
      <c r="N122" s="5"/>
      <c r="O122" s="81"/>
    </row>
    <row r="123" spans="2:15" x14ac:dyDescent="0.25">
      <c r="B123" s="296"/>
      <c r="C123" s="279"/>
      <c r="D123" s="296"/>
      <c r="E123" s="296"/>
      <c r="F123" s="268"/>
      <c r="G123" s="288"/>
      <c r="H123" s="344"/>
      <c r="I123" s="27" t="s">
        <v>833</v>
      </c>
      <c r="J123" s="36" t="s">
        <v>65</v>
      </c>
      <c r="K123" s="41" t="s">
        <v>834</v>
      </c>
      <c r="L123" s="44" t="str">
        <f>VLOOKUP(K123,[1]CódigosRetorno!$A$2:$B$1996,2,FALSE)</f>
        <v>El Numero de orden del item no cumple con el formato establecido</v>
      </c>
      <c r="M123" s="36" t="s">
        <v>67</v>
      </c>
      <c r="N123" s="5"/>
      <c r="O123" s="81"/>
    </row>
    <row r="124" spans="2:15" ht="168" x14ac:dyDescent="0.25">
      <c r="B124" s="296"/>
      <c r="C124" s="279"/>
      <c r="D124" s="296"/>
      <c r="E124" s="296"/>
      <c r="F124" s="268"/>
      <c r="G124" s="288"/>
      <c r="H124" s="344"/>
      <c r="I124" s="27" t="s">
        <v>1048</v>
      </c>
      <c r="J124" s="36" t="s">
        <v>65</v>
      </c>
      <c r="K124" s="41" t="s">
        <v>1049</v>
      </c>
      <c r="L124" s="44" t="str">
        <f>VLOOKUP(K124,[1]CódigosRetorno!$A$2:$B$1996,2,FALSE)</f>
        <v>El numero de item debe ser mayor a cero. Solo se permite colocar cero para consignar una anotacion opcional sobre los bienes a transportar.</v>
      </c>
      <c r="M124" s="36" t="s">
        <v>67</v>
      </c>
      <c r="N124" s="5"/>
      <c r="O124" s="81"/>
    </row>
    <row r="125" spans="2:15" x14ac:dyDescent="0.25">
      <c r="B125" s="296"/>
      <c r="C125" s="279"/>
      <c r="D125" s="296"/>
      <c r="E125" s="296"/>
      <c r="F125" s="268"/>
      <c r="G125" s="288"/>
      <c r="H125" s="345"/>
      <c r="I125" s="29" t="s">
        <v>835</v>
      </c>
      <c r="J125" s="36" t="s">
        <v>65</v>
      </c>
      <c r="K125" s="41" t="s">
        <v>836</v>
      </c>
      <c r="L125" s="44" t="str">
        <f>VLOOKUP(K125,[1]CódigosRetorno!$A$2:$B$1996,2,FALSE)</f>
        <v>El número de ítem no puede estar duplicado.</v>
      </c>
      <c r="M125" s="36" t="s">
        <v>67</v>
      </c>
      <c r="N125" s="5"/>
      <c r="O125" s="81"/>
    </row>
    <row r="126" spans="2:15" ht="24" x14ac:dyDescent="0.25">
      <c r="B126" s="297"/>
      <c r="C126" s="274"/>
      <c r="D126" s="297"/>
      <c r="E126" s="297"/>
      <c r="F126" s="268"/>
      <c r="G126" s="291"/>
      <c r="H126" s="29" t="s">
        <v>837</v>
      </c>
      <c r="I126" s="29" t="s">
        <v>391</v>
      </c>
      <c r="J126" s="36"/>
      <c r="K126" s="41" t="s">
        <v>58</v>
      </c>
      <c r="L126" s="44" t="str">
        <f>VLOOKUP(K126,[1]CódigosRetorno!$A$2:$B$1996,2,FALSE)</f>
        <v>-</v>
      </c>
      <c r="M126" s="36" t="s">
        <v>67</v>
      </c>
      <c r="N126" s="5"/>
      <c r="O126" s="81"/>
    </row>
    <row r="127" spans="2:15" ht="84" x14ac:dyDescent="0.25">
      <c r="B127" s="295">
        <f>B121+1</f>
        <v>21</v>
      </c>
      <c r="C127" s="273" t="s">
        <v>1050</v>
      </c>
      <c r="D127" s="295" t="s">
        <v>830</v>
      </c>
      <c r="E127" s="295" t="s">
        <v>15</v>
      </c>
      <c r="F127" s="287" t="s">
        <v>22</v>
      </c>
      <c r="G127" s="287" t="s">
        <v>23</v>
      </c>
      <c r="H127" s="343" t="s">
        <v>839</v>
      </c>
      <c r="I127" s="44" t="s">
        <v>1051</v>
      </c>
      <c r="J127" s="36" t="s">
        <v>65</v>
      </c>
      <c r="K127" s="41" t="s">
        <v>841</v>
      </c>
      <c r="L127" s="44" t="str">
        <f>VLOOKUP(K127,[1]CódigosRetorno!$A$2:$B$1996,2,FALSE)</f>
        <v>El XML No contiene el tag o no existe información de la cantidad del item.</v>
      </c>
      <c r="M127" s="36" t="s">
        <v>67</v>
      </c>
      <c r="N127" s="5"/>
      <c r="O127" s="81"/>
    </row>
    <row r="128" spans="2:15" ht="24" x14ac:dyDescent="0.25">
      <c r="B128" s="297"/>
      <c r="C128" s="274"/>
      <c r="D128" s="297"/>
      <c r="E128" s="297"/>
      <c r="F128" s="291"/>
      <c r="G128" s="291"/>
      <c r="H128" s="345"/>
      <c r="I128" s="44" t="s">
        <v>842</v>
      </c>
      <c r="J128" s="36" t="s">
        <v>65</v>
      </c>
      <c r="K128" s="41" t="s">
        <v>843</v>
      </c>
      <c r="L128" s="44" t="str">
        <f>VLOOKUP(K128,[1]CódigosRetorno!$A$2:$B$1996,2,FALSE)</f>
        <v>El valor ingresado en cantidad de items no cumple con el estandar</v>
      </c>
      <c r="M128" s="36" t="s">
        <v>67</v>
      </c>
      <c r="N128" s="5"/>
      <c r="O128" s="81"/>
    </row>
    <row r="129" spans="1:15" s="85" customFormat="1" ht="84" x14ac:dyDescent="0.25">
      <c r="A129" s="72"/>
      <c r="B129" s="295">
        <f>B127+1</f>
        <v>22</v>
      </c>
      <c r="C129" s="273" t="s">
        <v>1052</v>
      </c>
      <c r="D129" s="295" t="s">
        <v>830</v>
      </c>
      <c r="E129" s="295" t="s">
        <v>15</v>
      </c>
      <c r="F129" s="287" t="s">
        <v>20</v>
      </c>
      <c r="G129" s="287" t="s">
        <v>1053</v>
      </c>
      <c r="H129" s="343" t="s">
        <v>848</v>
      </c>
      <c r="I129" s="44" t="s">
        <v>1054</v>
      </c>
      <c r="J129" s="36" t="s">
        <v>65</v>
      </c>
      <c r="K129" s="41" t="s">
        <v>850</v>
      </c>
      <c r="L129" s="44" t="str">
        <f>VLOOKUP(K129,[1]CódigosRetorno!$A$2:$B$1996,2,FALSE)</f>
        <v>Es obligatorio indicar la unidad de medida del ítem</v>
      </c>
      <c r="M129" s="36" t="s">
        <v>67</v>
      </c>
      <c r="N129" s="5"/>
      <c r="O129" s="84"/>
    </row>
    <row r="130" spans="1:15" s="85" customFormat="1" ht="36" x14ac:dyDescent="0.25">
      <c r="A130" s="72"/>
      <c r="B130" s="296"/>
      <c r="C130" s="279"/>
      <c r="D130" s="296"/>
      <c r="E130" s="296"/>
      <c r="F130" s="288"/>
      <c r="G130" s="288"/>
      <c r="H130" s="344"/>
      <c r="I130" s="44" t="s">
        <v>1055</v>
      </c>
      <c r="J130" s="36" t="s">
        <v>111</v>
      </c>
      <c r="K130" s="41" t="s">
        <v>852</v>
      </c>
      <c r="L130" s="44" t="str">
        <f>VLOOKUP(K130,[1]CódigosRetorno!$A$2:$B$1996,2,FALSE)</f>
        <v>El dato ingresado como unidad de medida no corresponde al valor esperado</v>
      </c>
      <c r="M130" s="36" t="s">
        <v>67</v>
      </c>
      <c r="N130" s="5" t="s">
        <v>853</v>
      </c>
      <c r="O130" s="84"/>
    </row>
    <row r="131" spans="1:15" s="85" customFormat="1" ht="24" x14ac:dyDescent="0.25">
      <c r="A131" s="72"/>
      <c r="B131" s="296"/>
      <c r="C131" s="279"/>
      <c r="D131" s="296"/>
      <c r="E131" s="296"/>
      <c r="F131" s="291"/>
      <c r="G131" s="291"/>
      <c r="H131" s="345"/>
      <c r="I131" s="44" t="s">
        <v>1056</v>
      </c>
      <c r="J131" s="36" t="s">
        <v>111</v>
      </c>
      <c r="K131" s="41" t="s">
        <v>852</v>
      </c>
      <c r="L131" s="44" t="str">
        <f>VLOOKUP(K131,[1]CódigosRetorno!$A$2:$B$1996,2,FALSE)</f>
        <v>El dato ingresado como unidad de medida no corresponde al valor esperado</v>
      </c>
      <c r="M131" s="36" t="s">
        <v>67</v>
      </c>
      <c r="N131" s="5" t="s">
        <v>857</v>
      </c>
      <c r="O131" s="84"/>
    </row>
    <row r="132" spans="1:15" s="85" customFormat="1" x14ac:dyDescent="0.25">
      <c r="A132" s="72"/>
      <c r="B132" s="296"/>
      <c r="C132" s="279"/>
      <c r="D132" s="296"/>
      <c r="E132" s="296"/>
      <c r="F132" s="288"/>
      <c r="G132" s="5" t="s">
        <v>858</v>
      </c>
      <c r="H132" s="29" t="s">
        <v>859</v>
      </c>
      <c r="I132" s="33" t="s">
        <v>860</v>
      </c>
      <c r="J132" s="34" t="s">
        <v>111</v>
      </c>
      <c r="K132" s="30" t="s">
        <v>861</v>
      </c>
      <c r="L132" s="44" t="str">
        <f>VLOOKUP(K132,[1]CódigosRetorno!$A$2:$B$1996,2,FALSE)</f>
        <v>El dato ingresado como atributo @unitCodeListID es incorrecto.</v>
      </c>
      <c r="M132" s="36" t="s">
        <v>67</v>
      </c>
      <c r="N132" s="5"/>
      <c r="O132" s="84"/>
    </row>
    <row r="133" spans="1:15" s="85" customFormat="1" ht="48" x14ac:dyDescent="0.25">
      <c r="A133" s="72"/>
      <c r="B133" s="297"/>
      <c r="C133" s="274"/>
      <c r="D133" s="297"/>
      <c r="E133" s="297"/>
      <c r="F133" s="291"/>
      <c r="G133" s="5" t="s">
        <v>862</v>
      </c>
      <c r="H133" s="29" t="s">
        <v>863</v>
      </c>
      <c r="I133" s="33" t="s">
        <v>864</v>
      </c>
      <c r="J133" s="30" t="s">
        <v>111</v>
      </c>
      <c r="K133" s="35" t="s">
        <v>865</v>
      </c>
      <c r="L133" s="44" t="str">
        <f>VLOOKUP(K133,[1]CódigosRetorno!$A$2:$B$1996,2,FALSE)</f>
        <v>El dato ingresado como atributo @unitCodeListAgencyName es incorrecto.</v>
      </c>
      <c r="M133" s="36" t="s">
        <v>67</v>
      </c>
      <c r="N133" s="5"/>
      <c r="O133" s="84"/>
    </row>
    <row r="134" spans="1:15" ht="65.45" customHeight="1" x14ac:dyDescent="0.25">
      <c r="B134" s="295">
        <f>B129+1</f>
        <v>23</v>
      </c>
      <c r="C134" s="273" t="s">
        <v>1057</v>
      </c>
      <c r="D134" s="295" t="s">
        <v>1058</v>
      </c>
      <c r="E134" s="295" t="s">
        <v>15</v>
      </c>
      <c r="F134" s="287" t="s">
        <v>26</v>
      </c>
      <c r="G134" s="287"/>
      <c r="H134" s="343" t="s">
        <v>867</v>
      </c>
      <c r="I134" s="44" t="s">
        <v>1059</v>
      </c>
      <c r="J134" s="36" t="s">
        <v>65</v>
      </c>
      <c r="K134" s="41" t="s">
        <v>869</v>
      </c>
      <c r="L134" s="44" t="str">
        <f>VLOOKUP(K134,[1]CódigosRetorno!$A$2:$B$1996,2,FALSE)</f>
        <v>El XML no contiene el atributo o no existe informacion de descripcion del items</v>
      </c>
      <c r="M134" s="36" t="s">
        <v>67</v>
      </c>
      <c r="N134" s="5"/>
      <c r="O134" s="81"/>
    </row>
    <row r="135" spans="1:15" ht="48" x14ac:dyDescent="0.25">
      <c r="B135" s="297"/>
      <c r="C135" s="274"/>
      <c r="D135" s="297"/>
      <c r="E135" s="297"/>
      <c r="F135" s="291"/>
      <c r="G135" s="291"/>
      <c r="H135" s="345"/>
      <c r="I135" s="44" t="s">
        <v>1060</v>
      </c>
      <c r="J135" s="36" t="s">
        <v>111</v>
      </c>
      <c r="K135" s="41" t="s">
        <v>871</v>
      </c>
      <c r="L135" s="44" t="str">
        <f>VLOOKUP(K135,[1]CódigosRetorno!$A$2:$B$1996,2,FALSE)</f>
        <v>Descripción del Ítem - El dato ingresado no cumple con el formato establecido.</v>
      </c>
      <c r="M135" s="36" t="s">
        <v>67</v>
      </c>
      <c r="N135" s="5"/>
      <c r="O135" s="81"/>
    </row>
    <row r="136" spans="1:15" ht="48" x14ac:dyDescent="0.25">
      <c r="B136" s="36">
        <f>B134+1</f>
        <v>24</v>
      </c>
      <c r="C136" s="189" t="s">
        <v>872</v>
      </c>
      <c r="D136" s="36" t="s">
        <v>830</v>
      </c>
      <c r="E136" s="36" t="s">
        <v>15</v>
      </c>
      <c r="F136" s="5" t="s">
        <v>24</v>
      </c>
      <c r="G136" s="5"/>
      <c r="H136" s="29" t="s">
        <v>873</v>
      </c>
      <c r="I136" s="44" t="s">
        <v>874</v>
      </c>
      <c r="J136" s="36" t="s">
        <v>111</v>
      </c>
      <c r="K136" s="41" t="s">
        <v>875</v>
      </c>
      <c r="L136" s="44" t="str">
        <f>VLOOKUP(K136,[1]CódigosRetorno!$A$2:$B$1996,2,FALSE)</f>
        <v>Código del Ítem - El dato ingresado no cumple con el formato establecido.</v>
      </c>
      <c r="M136" s="36" t="s">
        <v>67</v>
      </c>
      <c r="N136" s="5"/>
      <c r="O136" s="81"/>
    </row>
    <row r="137" spans="1:15" s="85" customFormat="1" ht="96" x14ac:dyDescent="0.25">
      <c r="A137" s="72"/>
      <c r="B137" s="295">
        <f>+B136+1</f>
        <v>25</v>
      </c>
      <c r="C137" s="273" t="s">
        <v>876</v>
      </c>
      <c r="D137" s="295" t="s">
        <v>830</v>
      </c>
      <c r="E137" s="295" t="s">
        <v>15</v>
      </c>
      <c r="F137" s="287" t="s">
        <v>877</v>
      </c>
      <c r="G137" s="292" t="s">
        <v>1061</v>
      </c>
      <c r="H137" s="343" t="s">
        <v>879</v>
      </c>
      <c r="I137" s="44" t="s">
        <v>1062</v>
      </c>
      <c r="J137" s="36" t="s">
        <v>65</v>
      </c>
      <c r="K137" s="41" t="s">
        <v>881</v>
      </c>
      <c r="L137" s="44" t="str">
        <f>VLOOKUP(K137,[1]CódigosRetorno!$A$2:$B$1996,2,FALSE)</f>
        <v>Si el bien es regulado por SUNAT (existe Indicador de bien normalizado), debe indicar el Codigo de producto SUNAT</v>
      </c>
      <c r="M137" s="36" t="s">
        <v>67</v>
      </c>
      <c r="N137" s="5"/>
      <c r="O137" s="84"/>
    </row>
    <row r="138" spans="1:15" s="85" customFormat="1" ht="24" x14ac:dyDescent="0.25">
      <c r="A138" s="72"/>
      <c r="B138" s="296"/>
      <c r="C138" s="279"/>
      <c r="D138" s="296"/>
      <c r="E138" s="296"/>
      <c r="F138" s="288"/>
      <c r="G138" s="292"/>
      <c r="H138" s="344"/>
      <c r="I138" s="44" t="s">
        <v>1063</v>
      </c>
      <c r="J138" s="36" t="s">
        <v>65</v>
      </c>
      <c r="K138" s="41" t="s">
        <v>883</v>
      </c>
      <c r="L138" s="44" t="str">
        <f>VLOOKUP(K138,[1]CódigosRetorno!$A$2:$B$1996,2,FALSE)</f>
        <v>El Código producto de SUNAT  no es válido</v>
      </c>
      <c r="M138" s="36" t="s">
        <v>67</v>
      </c>
      <c r="N138" s="5"/>
      <c r="O138" s="84"/>
    </row>
    <row r="139" spans="1:15" s="85" customFormat="1" ht="24" x14ac:dyDescent="0.25">
      <c r="A139" s="72"/>
      <c r="B139" s="296"/>
      <c r="C139" s="279"/>
      <c r="D139" s="296"/>
      <c r="E139" s="296"/>
      <c r="F139" s="288"/>
      <c r="G139" s="292"/>
      <c r="H139" s="344"/>
      <c r="I139" s="44" t="s">
        <v>1064</v>
      </c>
      <c r="J139" s="36" t="s">
        <v>65</v>
      </c>
      <c r="K139" s="41" t="s">
        <v>885</v>
      </c>
      <c r="L139" s="44" t="str">
        <f>VLOOKUP(K139,[1]CódigosRetorno!$A$2:$B$1996,2,FALSE)</f>
        <v>El Codigo de Producto SUNAT no se encuentra en el listado</v>
      </c>
      <c r="M139" s="36" t="s">
        <v>67</v>
      </c>
      <c r="N139" s="5" t="s">
        <v>886</v>
      </c>
      <c r="O139" s="84"/>
    </row>
    <row r="140" spans="1:15" s="85" customFormat="1" ht="36" x14ac:dyDescent="0.25">
      <c r="A140" s="72"/>
      <c r="B140" s="297"/>
      <c r="C140" s="274"/>
      <c r="D140" s="297"/>
      <c r="E140" s="297"/>
      <c r="F140" s="291"/>
      <c r="G140" s="292"/>
      <c r="H140" s="345"/>
      <c r="I140" s="44" t="s">
        <v>1065</v>
      </c>
      <c r="J140" s="36" t="s">
        <v>65</v>
      </c>
      <c r="K140" s="41" t="s">
        <v>888</v>
      </c>
      <c r="L140" s="44" t="str">
        <f>VLOOKUP(K140,[1]CódigosRetorno!$A$2:$B$1996,2,FALSE)</f>
        <v>El Codigo de producto SUNAT no esta en el listado de bienes normalizados</v>
      </c>
      <c r="M140" s="36" t="s">
        <v>67</v>
      </c>
      <c r="N140" s="5" t="s">
        <v>889</v>
      </c>
      <c r="O140" s="84"/>
    </row>
    <row r="141" spans="1:15" s="85" customFormat="1" ht="36" x14ac:dyDescent="0.25">
      <c r="A141" s="72"/>
      <c r="B141" s="295">
        <f>B137+1</f>
        <v>26</v>
      </c>
      <c r="C141" s="273" t="s">
        <v>898</v>
      </c>
      <c r="D141" s="295" t="s">
        <v>830</v>
      </c>
      <c r="E141" s="295" t="s">
        <v>15</v>
      </c>
      <c r="F141" s="287" t="s">
        <v>12</v>
      </c>
      <c r="G141" s="287"/>
      <c r="H141" s="64" t="s">
        <v>899</v>
      </c>
      <c r="I141" s="29" t="s">
        <v>1066</v>
      </c>
      <c r="J141" s="36" t="s">
        <v>65</v>
      </c>
      <c r="K141" s="41" t="s">
        <v>901</v>
      </c>
      <c r="L141" s="44" t="str">
        <f>VLOOKUP(K141,[1]CódigosRetorno!$A$2:$B$1996,2,FALSE)</f>
        <v>El Codigo de Producto GTIN no cumple con el formato establecido</v>
      </c>
      <c r="M141" s="36" t="s">
        <v>67</v>
      </c>
      <c r="N141" s="5"/>
      <c r="O141" s="84"/>
    </row>
    <row r="142" spans="1:15" s="85" customFormat="1" ht="24" x14ac:dyDescent="0.25">
      <c r="A142" s="72"/>
      <c r="B142" s="297"/>
      <c r="C142" s="274"/>
      <c r="D142" s="297"/>
      <c r="E142" s="297"/>
      <c r="F142" s="291"/>
      <c r="G142" s="291"/>
      <c r="H142" s="29" t="s">
        <v>902</v>
      </c>
      <c r="I142" s="27" t="s">
        <v>903</v>
      </c>
      <c r="J142" s="36" t="s">
        <v>111</v>
      </c>
      <c r="K142" s="3" t="s">
        <v>904</v>
      </c>
      <c r="L142" s="44" t="str">
        <f>VLOOKUP(K142,[1]CódigosRetorno!$A$2:$B$1996,2,FALSE)</f>
        <v>El tipo de estructura GS1 no tiene un valor permitido</v>
      </c>
      <c r="M142" s="36" t="s">
        <v>67</v>
      </c>
      <c r="N142" s="5"/>
      <c r="O142" s="84"/>
    </row>
    <row r="143" spans="1:15" s="85" customFormat="1" ht="36" x14ac:dyDescent="0.25">
      <c r="A143" s="72"/>
      <c r="B143" s="268" t="s">
        <v>1067</v>
      </c>
      <c r="C143" s="273" t="s">
        <v>1068</v>
      </c>
      <c r="D143" s="357" t="s">
        <v>830</v>
      </c>
      <c r="E143" s="357" t="s">
        <v>15</v>
      </c>
      <c r="F143" s="30" t="s">
        <v>35</v>
      </c>
      <c r="G143" s="28"/>
      <c r="H143" s="29" t="s">
        <v>907</v>
      </c>
      <c r="I143" s="33" t="s">
        <v>1069</v>
      </c>
      <c r="J143" s="34" t="s">
        <v>111</v>
      </c>
      <c r="K143" s="31" t="s">
        <v>909</v>
      </c>
      <c r="L143" s="44" t="str">
        <f>VLOOKUP(K143,[1]CódigosRetorno!$A$2:$B$1996,2,FALSE)</f>
        <v>No existe información en el nombre del concepto.</v>
      </c>
      <c r="M143" s="36" t="s">
        <v>67</v>
      </c>
      <c r="N143" s="5"/>
      <c r="O143" s="84"/>
    </row>
    <row r="144" spans="1:15" s="85" customFormat="1" ht="108" x14ac:dyDescent="0.25">
      <c r="A144" s="72"/>
      <c r="B144" s="266"/>
      <c r="C144" s="279"/>
      <c r="D144" s="357"/>
      <c r="E144" s="357"/>
      <c r="F144" s="351" t="s">
        <v>29</v>
      </c>
      <c r="G144" s="340" t="s">
        <v>910</v>
      </c>
      <c r="H144" s="349" t="s">
        <v>911</v>
      </c>
      <c r="I144" s="44" t="s">
        <v>1070</v>
      </c>
      <c r="J144" s="34" t="s">
        <v>65</v>
      </c>
      <c r="K144" s="30" t="s">
        <v>913</v>
      </c>
      <c r="L144" s="44" t="str">
        <f>VLOOKUP(K144,[1]CódigosRetorno!$A$2:$B$1996,2,FALSE)</f>
        <v>Si se trata de un bien normalizado por SUNAT, debe indicarse la Partida arancelaria</v>
      </c>
      <c r="M144" s="36" t="s">
        <v>67</v>
      </c>
      <c r="N144" s="5"/>
      <c r="O144" s="84"/>
    </row>
    <row r="145" spans="1:15" s="85" customFormat="1" ht="105.6" customHeight="1" x14ac:dyDescent="0.25">
      <c r="A145" s="72"/>
      <c r="B145" s="266"/>
      <c r="C145" s="279"/>
      <c r="D145" s="357"/>
      <c r="E145" s="357"/>
      <c r="F145" s="353"/>
      <c r="G145" s="342"/>
      <c r="H145" s="350"/>
      <c r="I145" s="44" t="s">
        <v>1071</v>
      </c>
      <c r="J145" s="34" t="s">
        <v>65</v>
      </c>
      <c r="K145" s="30" t="s">
        <v>203</v>
      </c>
      <c r="L145" s="44" t="str">
        <f>VLOOKUP(K145,[1]CódigosRetorno!$A$2:$B$1996,2,FALSE)</f>
        <v>Si ingreso un documento relacionado tipo "49" (solo en caso de GRE-Remitente) u "80", debe existir al menos un item con Partida arancelaria</v>
      </c>
      <c r="M145" s="36" t="s">
        <v>67</v>
      </c>
      <c r="N145" s="5"/>
      <c r="O145" s="84"/>
    </row>
    <row r="146" spans="1:15" s="85" customFormat="1" ht="24" x14ac:dyDescent="0.25">
      <c r="A146" s="72"/>
      <c r="B146" s="266"/>
      <c r="C146" s="279"/>
      <c r="D146" s="357"/>
      <c r="E146" s="357"/>
      <c r="F146" s="338"/>
      <c r="G146" s="28" t="s">
        <v>918</v>
      </c>
      <c r="H146" s="33" t="s">
        <v>114</v>
      </c>
      <c r="I146" s="33" t="s">
        <v>919</v>
      </c>
      <c r="J146" s="30" t="s">
        <v>111</v>
      </c>
      <c r="K146" s="35" t="s">
        <v>116</v>
      </c>
      <c r="L146" s="44" t="str">
        <f>VLOOKUP(K146,[1]CódigosRetorno!$A$2:$B$1996,2,FALSE)</f>
        <v>El dato ingresado como atributo @listName es incorrecto.</v>
      </c>
      <c r="M146" s="36" t="s">
        <v>67</v>
      </c>
      <c r="N146" s="5"/>
      <c r="O146" s="84"/>
    </row>
    <row r="147" spans="1:15" s="85" customFormat="1" x14ac:dyDescent="0.25">
      <c r="A147" s="72"/>
      <c r="B147" s="266"/>
      <c r="C147" s="279"/>
      <c r="D147" s="357"/>
      <c r="E147" s="357"/>
      <c r="F147" s="338"/>
      <c r="G147" s="28" t="s">
        <v>108</v>
      </c>
      <c r="H147" s="33" t="s">
        <v>109</v>
      </c>
      <c r="I147" s="33" t="s">
        <v>110</v>
      </c>
      <c r="J147" s="34" t="s">
        <v>111</v>
      </c>
      <c r="K147" s="30" t="s">
        <v>112</v>
      </c>
      <c r="L147" s="44" t="str">
        <f>VLOOKUP(K147,[1]CódigosRetorno!$A$2:$B$1996,2,FALSE)</f>
        <v>El dato ingresado como atributo @listAgencyName es incorrecto.</v>
      </c>
      <c r="M147" s="36" t="s">
        <v>67</v>
      </c>
      <c r="N147" s="5"/>
      <c r="O147" s="84"/>
    </row>
    <row r="148" spans="1:15" s="85" customFormat="1" ht="36" x14ac:dyDescent="0.25">
      <c r="A148" s="72"/>
      <c r="B148" s="266"/>
      <c r="C148" s="279"/>
      <c r="D148" s="357"/>
      <c r="E148" s="357"/>
      <c r="F148" s="338"/>
      <c r="G148" s="31" t="s">
        <v>920</v>
      </c>
      <c r="H148" s="32" t="s">
        <v>118</v>
      </c>
      <c r="I148" s="33" t="s">
        <v>921</v>
      </c>
      <c r="J148" s="30" t="s">
        <v>111</v>
      </c>
      <c r="K148" s="35" t="s">
        <v>120</v>
      </c>
      <c r="L148" s="44" t="str">
        <f>VLOOKUP(K148,[1]CódigosRetorno!$A$2:$B$1996,2,FALSE)</f>
        <v>El dato ingresado como atributo @listURI es incorrecto.</v>
      </c>
      <c r="M148" s="36" t="s">
        <v>67</v>
      </c>
      <c r="N148" s="5"/>
      <c r="O148" s="84"/>
    </row>
    <row r="149" spans="1:15" s="85" customFormat="1" ht="24" x14ac:dyDescent="0.25">
      <c r="A149" s="72"/>
      <c r="B149" s="266"/>
      <c r="C149" s="279"/>
      <c r="D149" s="357"/>
      <c r="E149" s="357"/>
      <c r="F149" s="351" t="s">
        <v>16</v>
      </c>
      <c r="G149" s="351" t="s">
        <v>1072</v>
      </c>
      <c r="H149" s="349" t="s">
        <v>1073</v>
      </c>
      <c r="I149" s="33" t="s">
        <v>1074</v>
      </c>
      <c r="J149" s="34" t="s">
        <v>65</v>
      </c>
      <c r="K149" s="30" t="s">
        <v>925</v>
      </c>
      <c r="L149" s="44" t="str">
        <f>VLOOKUP(K149,[1]CódigosRetorno!$A$2:$B$1996,2,FALSE)</f>
        <v>El XML no contiene tag o no existe información del valor del concepto por linea.</v>
      </c>
      <c r="M149" s="36" t="s">
        <v>67</v>
      </c>
      <c r="N149" s="5"/>
      <c r="O149" s="84"/>
    </row>
    <row r="150" spans="1:15" s="85" customFormat="1" ht="24" x14ac:dyDescent="0.25">
      <c r="A150" s="72"/>
      <c r="B150" s="266"/>
      <c r="C150" s="279"/>
      <c r="D150" s="357"/>
      <c r="E150" s="357"/>
      <c r="F150" s="352"/>
      <c r="G150" s="352"/>
      <c r="H150" s="354"/>
      <c r="I150" s="44" t="s">
        <v>1075</v>
      </c>
      <c r="J150" s="36" t="s">
        <v>65</v>
      </c>
      <c r="K150" s="41" t="s">
        <v>927</v>
      </c>
      <c r="L150" s="44" t="str">
        <f>VLOOKUP(K150,[1]CódigosRetorno!$A$2:$B$1996,2,FALSE)</f>
        <v>La Partida arancelaria no cumple con el formato establecido</v>
      </c>
      <c r="M150" s="36" t="s">
        <v>67</v>
      </c>
      <c r="N150" s="5"/>
      <c r="O150" s="84"/>
    </row>
    <row r="151" spans="1:15" s="85" customFormat="1" ht="24" x14ac:dyDescent="0.25">
      <c r="A151" s="72"/>
      <c r="B151" s="266"/>
      <c r="C151" s="279"/>
      <c r="D151" s="357"/>
      <c r="E151" s="357"/>
      <c r="F151" s="352"/>
      <c r="G151" s="352"/>
      <c r="H151" s="354"/>
      <c r="I151" s="33" t="s">
        <v>1076</v>
      </c>
      <c r="J151" s="34" t="s">
        <v>65</v>
      </c>
      <c r="K151" s="30" t="s">
        <v>929</v>
      </c>
      <c r="L151" s="44" t="str">
        <f>VLOOKUP(K151,[1]CódigosRetorno!$A$2:$B$1996,2,FALSE)</f>
        <v>La Partida arancelaria no se encuentra en el listado</v>
      </c>
      <c r="M151" s="36" t="s">
        <v>85</v>
      </c>
      <c r="N151" s="5" t="s">
        <v>930</v>
      </c>
      <c r="O151" s="84"/>
    </row>
    <row r="152" spans="1:15" s="85" customFormat="1" ht="24" x14ac:dyDescent="0.25">
      <c r="A152" s="72"/>
      <c r="B152" s="266"/>
      <c r="C152" s="279"/>
      <c r="D152" s="357"/>
      <c r="E152" s="357"/>
      <c r="F152" s="353"/>
      <c r="G152" s="353"/>
      <c r="H152" s="350"/>
      <c r="I152" s="27" t="s">
        <v>1077</v>
      </c>
      <c r="J152" s="5" t="s">
        <v>65</v>
      </c>
      <c r="K152" s="3" t="s">
        <v>932</v>
      </c>
      <c r="L152" s="44" t="str">
        <f>VLOOKUP(K152,[1]CódigosRetorno!$A$2:$B$1996,2,FALSE)</f>
        <v>La Partida arancelaria no esta en el listado de bienes normalizados</v>
      </c>
      <c r="M152" s="5" t="s">
        <v>67</v>
      </c>
      <c r="N152" s="5" t="s">
        <v>889</v>
      </c>
      <c r="O152" s="84"/>
    </row>
    <row r="153" spans="1:15" s="85" customFormat="1" ht="24" x14ac:dyDescent="0.25">
      <c r="A153" s="72"/>
      <c r="B153" s="266"/>
      <c r="C153" s="279"/>
      <c r="D153" s="357"/>
      <c r="E153" s="357"/>
      <c r="F153" s="351" t="s">
        <v>17</v>
      </c>
      <c r="G153" s="355" t="s">
        <v>1078</v>
      </c>
      <c r="H153" s="349" t="s">
        <v>934</v>
      </c>
      <c r="I153" s="33" t="s">
        <v>935</v>
      </c>
      <c r="J153" s="34" t="s">
        <v>65</v>
      </c>
      <c r="K153" s="30" t="s">
        <v>936</v>
      </c>
      <c r="L153" s="44" t="str">
        <f>VLOOKUP(K153,[1]CódigosRetorno!$A$2:$B$1996,2,FALSE)</f>
        <v>El Indicador de bien normalizado es invalido</v>
      </c>
      <c r="M153" s="36" t="s">
        <v>67</v>
      </c>
      <c r="N153" s="5"/>
      <c r="O153" s="84"/>
    </row>
    <row r="154" spans="1:15" s="85" customFormat="1" ht="48" x14ac:dyDescent="0.25">
      <c r="A154" s="72"/>
      <c r="B154" s="266"/>
      <c r="C154" s="279"/>
      <c r="D154" s="357"/>
      <c r="E154" s="357"/>
      <c r="F154" s="352"/>
      <c r="G154" s="356"/>
      <c r="H154" s="354"/>
      <c r="I154" s="27" t="s">
        <v>1079</v>
      </c>
      <c r="J154" s="36" t="s">
        <v>65</v>
      </c>
      <c r="K154" s="3" t="s">
        <v>938</v>
      </c>
      <c r="L154" s="44" t="str">
        <f>VLOOKUP(K154,[1]CódigosRetorno!$A$2:$B$1996,2,FALSE)</f>
        <v>Debe consignar un documento relacionado igual a '49' (solo en caso de GRE-Remitente) u '80' para un traslado que comprende un bien normalizado</v>
      </c>
      <c r="M154" s="36" t="s">
        <v>67</v>
      </c>
      <c r="N154" s="5"/>
      <c r="O154" s="84"/>
    </row>
    <row r="155" spans="1:15" x14ac:dyDescent="0.25">
      <c r="B155" s="92" t="s">
        <v>703</v>
      </c>
      <c r="C155" s="93"/>
      <c r="D155" s="94"/>
      <c r="E155" s="95"/>
      <c r="F155" s="96"/>
      <c r="G155" s="97"/>
      <c r="H155" s="93"/>
      <c r="I155" s="93"/>
      <c r="J155" s="94"/>
      <c r="K155" s="98"/>
      <c r="L155" s="93"/>
      <c r="M155" s="94"/>
      <c r="N155" s="99"/>
      <c r="O155" s="81"/>
    </row>
    <row r="156" spans="1:15" s="85" customFormat="1" x14ac:dyDescent="0.25">
      <c r="A156" s="72"/>
      <c r="B156" s="295">
        <v>29</v>
      </c>
      <c r="C156" s="273" t="s">
        <v>704</v>
      </c>
      <c r="D156" s="295" t="s">
        <v>61</v>
      </c>
      <c r="E156" s="295" t="s">
        <v>5</v>
      </c>
      <c r="F156" s="287" t="s">
        <v>1080</v>
      </c>
      <c r="G156" s="287" t="s">
        <v>705</v>
      </c>
      <c r="H156" s="343" t="s">
        <v>706</v>
      </c>
      <c r="I156" s="29" t="s">
        <v>64</v>
      </c>
      <c r="J156" s="36" t="s">
        <v>65</v>
      </c>
      <c r="K156" s="41" t="s">
        <v>707</v>
      </c>
      <c r="L156" s="44" t="str">
        <f>VLOOKUP(K156,[1]CódigosRetorno!$A$2:$B$1996,2,FALSE)</f>
        <v>El XML no contiene el atributo o no existe informacion del codigo de ubigeo.</v>
      </c>
      <c r="M156" s="36" t="s">
        <v>67</v>
      </c>
      <c r="N156" s="5"/>
      <c r="O156" s="84"/>
    </row>
    <row r="157" spans="1:15" s="85" customFormat="1" x14ac:dyDescent="0.25">
      <c r="A157" s="72"/>
      <c r="B157" s="296"/>
      <c r="C157" s="279"/>
      <c r="D157" s="296"/>
      <c r="E157" s="296"/>
      <c r="F157" s="288"/>
      <c r="G157" s="288"/>
      <c r="H157" s="344"/>
      <c r="I157" s="29" t="s">
        <v>708</v>
      </c>
      <c r="J157" s="36" t="s">
        <v>65</v>
      </c>
      <c r="K157" s="41" t="s">
        <v>709</v>
      </c>
      <c r="L157" s="44" t="str">
        <f>VLOOKUP(K157,[1]CódigosRetorno!$A$2:$B$1996,2,FALSE)</f>
        <v>El valor ingresado como codigo de ubigeo no cumple con el estandar.</v>
      </c>
      <c r="M157" s="36" t="s">
        <v>67</v>
      </c>
      <c r="N157" s="5"/>
      <c r="O157" s="84"/>
    </row>
    <row r="158" spans="1:15" s="85" customFormat="1" x14ac:dyDescent="0.25">
      <c r="A158" s="72"/>
      <c r="B158" s="296"/>
      <c r="C158" s="279"/>
      <c r="D158" s="296"/>
      <c r="E158" s="296"/>
      <c r="F158" s="291"/>
      <c r="G158" s="291"/>
      <c r="H158" s="345"/>
      <c r="I158" s="29" t="s">
        <v>396</v>
      </c>
      <c r="J158" s="36" t="s">
        <v>65</v>
      </c>
      <c r="K158" s="41" t="s">
        <v>710</v>
      </c>
      <c r="L158" s="44" t="str">
        <f>VLOOKUP(K158,[1]CódigosRetorno!$A$2:$B$1996,2,FALSE)</f>
        <v>El codigo de ubigeo del punto de partida no existe</v>
      </c>
      <c r="M158" s="36" t="s">
        <v>67</v>
      </c>
      <c r="N158" s="5" t="s">
        <v>711</v>
      </c>
      <c r="O158" s="84"/>
    </row>
    <row r="159" spans="1:15" s="85" customFormat="1" x14ac:dyDescent="0.25">
      <c r="A159" s="72"/>
      <c r="B159" s="296"/>
      <c r="C159" s="279"/>
      <c r="D159" s="296"/>
      <c r="E159" s="296"/>
      <c r="F159" s="287"/>
      <c r="G159" s="5" t="s">
        <v>717</v>
      </c>
      <c r="H159" s="29" t="s">
        <v>137</v>
      </c>
      <c r="I159" s="33" t="s">
        <v>718</v>
      </c>
      <c r="J159" s="34" t="s">
        <v>111</v>
      </c>
      <c r="K159" s="30" t="s">
        <v>138</v>
      </c>
      <c r="L159" s="44" t="str">
        <f>VLOOKUP(K159,[1]CódigosRetorno!$A$2:$B$1996,2,FALSE)</f>
        <v>El dato ingresado como atributo @schemeAgencyName es incorrecto.</v>
      </c>
      <c r="M159" s="36" t="s">
        <v>67</v>
      </c>
      <c r="N159" s="5"/>
      <c r="O159" s="84"/>
    </row>
    <row r="160" spans="1:15" s="85" customFormat="1" x14ac:dyDescent="0.25">
      <c r="A160" s="72"/>
      <c r="B160" s="297"/>
      <c r="C160" s="274"/>
      <c r="D160" s="297"/>
      <c r="E160" s="297"/>
      <c r="F160" s="291"/>
      <c r="G160" s="5" t="s">
        <v>719</v>
      </c>
      <c r="H160" s="29" t="s">
        <v>134</v>
      </c>
      <c r="I160" s="33" t="s">
        <v>720</v>
      </c>
      <c r="J160" s="34" t="s">
        <v>111</v>
      </c>
      <c r="K160" s="30" t="s">
        <v>136</v>
      </c>
      <c r="L160" s="44" t="str">
        <f>VLOOKUP(K160,[1]CódigosRetorno!$A$2:$B$1996,2,FALSE)</f>
        <v>El dato ingresado como atributo @schemeName es incorrecto.</v>
      </c>
      <c r="M160" s="36" t="s">
        <v>67</v>
      </c>
      <c r="N160" s="5"/>
      <c r="O160" s="84"/>
    </row>
    <row r="161" spans="1:15" s="85" customFormat="1" ht="36" x14ac:dyDescent="0.25">
      <c r="A161" s="72"/>
      <c r="B161" s="295">
        <f>B156+1</f>
        <v>30</v>
      </c>
      <c r="C161" s="273" t="s">
        <v>1081</v>
      </c>
      <c r="D161" s="295" t="s">
        <v>61</v>
      </c>
      <c r="E161" s="295" t="s">
        <v>15</v>
      </c>
      <c r="F161" s="287" t="s">
        <v>26</v>
      </c>
      <c r="G161" s="287"/>
      <c r="H161" s="339" t="s">
        <v>722</v>
      </c>
      <c r="I161" s="44" t="s">
        <v>1082</v>
      </c>
      <c r="J161" s="36" t="s">
        <v>65</v>
      </c>
      <c r="K161" s="41" t="s">
        <v>723</v>
      </c>
      <c r="L161" s="44" t="str">
        <f>VLOOKUP(K161,[1]CódigosRetorno!$A$2:$B$1996,2,FALSE)</f>
        <v>El XML no contiene el tag o no existe informacion de direccion detallada de punto de partida.</v>
      </c>
      <c r="M161" s="36" t="s">
        <v>67</v>
      </c>
      <c r="N161" s="5"/>
      <c r="O161" s="84"/>
    </row>
    <row r="162" spans="1:15" s="85" customFormat="1" ht="48" x14ac:dyDescent="0.25">
      <c r="A162" s="72"/>
      <c r="B162" s="297"/>
      <c r="C162" s="274"/>
      <c r="D162" s="297"/>
      <c r="E162" s="297"/>
      <c r="F162" s="291"/>
      <c r="G162" s="291"/>
      <c r="H162" s="339"/>
      <c r="I162" s="29" t="s">
        <v>1083</v>
      </c>
      <c r="J162" s="36" t="s">
        <v>111</v>
      </c>
      <c r="K162" s="41" t="s">
        <v>725</v>
      </c>
      <c r="L162" s="44" t="str">
        <f>VLOOKUP(K162,[1]CódigosRetorno!$A$2:$B$1996,2,FALSE)</f>
        <v>Direccion de punto de partida - El dato ingresado no cumple con el formato establecido.</v>
      </c>
      <c r="M162" s="36" t="s">
        <v>67</v>
      </c>
      <c r="N162" s="5"/>
      <c r="O162" s="84"/>
    </row>
    <row r="163" spans="1:15" s="85" customFormat="1" ht="39" customHeight="1" x14ac:dyDescent="0.25">
      <c r="A163" s="72"/>
      <c r="B163" s="295">
        <f>B161+1</f>
        <v>31</v>
      </c>
      <c r="C163" s="273" t="s">
        <v>753</v>
      </c>
      <c r="D163" s="295" t="s">
        <v>61</v>
      </c>
      <c r="E163" s="295" t="s">
        <v>15</v>
      </c>
      <c r="F163" s="5" t="s">
        <v>74</v>
      </c>
      <c r="G163" s="5" t="s">
        <v>754</v>
      </c>
      <c r="H163" s="29" t="s">
        <v>1084</v>
      </c>
      <c r="I163" s="27" t="s">
        <v>756</v>
      </c>
      <c r="J163" s="5" t="s">
        <v>65</v>
      </c>
      <c r="K163" s="41" t="s">
        <v>757</v>
      </c>
      <c r="L163" s="44" t="str">
        <f>VLOOKUP(K163,[1]CódigosRetorno!$A$2:$B$1996,2,FALSE)</f>
        <v>El valor ingresado como Punto de georreferencia no cumple con el formato establecido</v>
      </c>
      <c r="M163" s="36" t="s">
        <v>67</v>
      </c>
      <c r="N163" s="5"/>
      <c r="O163" s="84"/>
    </row>
    <row r="164" spans="1:15" s="85" customFormat="1" x14ac:dyDescent="0.25">
      <c r="A164" s="72"/>
      <c r="B164" s="296"/>
      <c r="C164" s="279"/>
      <c r="D164" s="296"/>
      <c r="E164" s="296"/>
      <c r="F164" s="5" t="s">
        <v>30</v>
      </c>
      <c r="G164" s="5" t="s">
        <v>758</v>
      </c>
      <c r="H164" s="29" t="s">
        <v>759</v>
      </c>
      <c r="I164" s="29" t="s">
        <v>391</v>
      </c>
      <c r="J164" s="36"/>
      <c r="K164" s="41" t="s">
        <v>58</v>
      </c>
      <c r="L164" s="44" t="str">
        <f>VLOOKUP(K164,[1]CódigosRetorno!$A$2:$B$1996,2,FALSE)</f>
        <v>-</v>
      </c>
      <c r="M164" s="36"/>
      <c r="N164" s="5"/>
      <c r="O164" s="84"/>
    </row>
    <row r="165" spans="1:15" s="85" customFormat="1" ht="48" x14ac:dyDescent="0.25">
      <c r="A165" s="72"/>
      <c r="B165" s="296"/>
      <c r="C165" s="279"/>
      <c r="D165" s="296"/>
      <c r="E165" s="296"/>
      <c r="F165" s="5" t="s">
        <v>74</v>
      </c>
      <c r="G165" s="5" t="s">
        <v>754</v>
      </c>
      <c r="H165" s="29" t="s">
        <v>760</v>
      </c>
      <c r="I165" s="27" t="s">
        <v>756</v>
      </c>
      <c r="J165" s="5" t="s">
        <v>65</v>
      </c>
      <c r="K165" s="41" t="s">
        <v>757</v>
      </c>
      <c r="L165" s="44" t="str">
        <f>VLOOKUP(K165,[1]CódigosRetorno!$A$2:$B$1996,2,FALSE)</f>
        <v>El valor ingresado como Punto de georreferencia no cumple con el formato establecido</v>
      </c>
      <c r="M165" s="36" t="s">
        <v>67</v>
      </c>
      <c r="N165" s="5"/>
      <c r="O165" s="84"/>
    </row>
    <row r="166" spans="1:15" s="85" customFormat="1" x14ac:dyDescent="0.25">
      <c r="A166" s="72"/>
      <c r="B166" s="297"/>
      <c r="C166" s="274"/>
      <c r="D166" s="297"/>
      <c r="E166" s="297"/>
      <c r="F166" s="49" t="s">
        <v>30</v>
      </c>
      <c r="G166" s="49" t="s">
        <v>758</v>
      </c>
      <c r="H166" s="64" t="s">
        <v>759</v>
      </c>
      <c r="I166" s="64" t="s">
        <v>391</v>
      </c>
      <c r="J166" s="62"/>
      <c r="K166" s="59" t="s">
        <v>58</v>
      </c>
      <c r="L166" s="44" t="str">
        <f>VLOOKUP(K166,[1]CódigosRetorno!$A$2:$B$1996,2,FALSE)</f>
        <v>-</v>
      </c>
      <c r="M166" s="62"/>
      <c r="N166" s="49"/>
      <c r="O166" s="84"/>
    </row>
    <row r="167" spans="1:15" x14ac:dyDescent="0.25">
      <c r="B167" s="101" t="s">
        <v>761</v>
      </c>
      <c r="C167" s="102"/>
      <c r="D167" s="103"/>
      <c r="E167" s="103"/>
      <c r="F167" s="104"/>
      <c r="G167" s="104"/>
      <c r="H167" s="102"/>
      <c r="I167" s="102"/>
      <c r="J167" s="103"/>
      <c r="K167" s="105"/>
      <c r="L167" s="102"/>
      <c r="M167" s="103"/>
      <c r="N167" s="106"/>
      <c r="O167" s="81"/>
    </row>
    <row r="168" spans="1:15" s="85" customFormat="1" ht="60" x14ac:dyDescent="0.25">
      <c r="A168" s="72"/>
      <c r="B168" s="295">
        <f>B163+1</f>
        <v>32</v>
      </c>
      <c r="C168" s="273" t="s">
        <v>762</v>
      </c>
      <c r="D168" s="295" t="s">
        <v>61</v>
      </c>
      <c r="E168" s="295" t="s">
        <v>15</v>
      </c>
      <c r="F168" s="295" t="s">
        <v>1080</v>
      </c>
      <c r="G168" s="287" t="s">
        <v>705</v>
      </c>
      <c r="H168" s="343" t="s">
        <v>763</v>
      </c>
      <c r="I168" s="107" t="s">
        <v>1085</v>
      </c>
      <c r="J168" s="108" t="s">
        <v>65</v>
      </c>
      <c r="K168" s="109" t="s">
        <v>707</v>
      </c>
      <c r="L168" s="44" t="str">
        <f>VLOOKUP(K168,[1]CódigosRetorno!$A$2:$B$1996,2,FALSE)</f>
        <v>El XML no contiene el atributo o no existe informacion del codigo de ubigeo.</v>
      </c>
      <c r="M168" s="108" t="s">
        <v>85</v>
      </c>
      <c r="N168" s="46"/>
      <c r="O168" s="84"/>
    </row>
    <row r="169" spans="1:15" s="85" customFormat="1" ht="36" x14ac:dyDescent="0.25">
      <c r="A169" s="72"/>
      <c r="B169" s="296"/>
      <c r="C169" s="279"/>
      <c r="D169" s="296"/>
      <c r="E169" s="296"/>
      <c r="F169" s="296"/>
      <c r="G169" s="288"/>
      <c r="H169" s="344"/>
      <c r="I169" s="107" t="s">
        <v>1086</v>
      </c>
      <c r="J169" s="108" t="s">
        <v>111</v>
      </c>
      <c r="K169" s="109" t="s">
        <v>1087</v>
      </c>
      <c r="L169" s="44" t="str">
        <f>VLOOKUP(K169,[1]CódigosRetorno!$A$2:$B$1996,2,FALSE)</f>
        <v>Si en caso el motivo de traslado de la guia remision remitente es Traslado emisor itinerante CP no corresponde informar codigo de ubigeo del punto de llegada</v>
      </c>
      <c r="M169" s="108" t="s">
        <v>67</v>
      </c>
      <c r="N169" s="46"/>
      <c r="O169" s="84"/>
    </row>
    <row r="170" spans="1:15" s="85" customFormat="1" ht="24" x14ac:dyDescent="0.25">
      <c r="A170" s="72"/>
      <c r="B170" s="296"/>
      <c r="C170" s="279"/>
      <c r="D170" s="296"/>
      <c r="E170" s="296"/>
      <c r="F170" s="296"/>
      <c r="G170" s="288"/>
      <c r="H170" s="344"/>
      <c r="I170" s="29" t="s">
        <v>1088</v>
      </c>
      <c r="J170" s="36" t="s">
        <v>65</v>
      </c>
      <c r="K170" s="41" t="s">
        <v>709</v>
      </c>
      <c r="L170" s="44" t="str">
        <f>VLOOKUP(K170,[1]CódigosRetorno!$A$2:$B$1996,2,FALSE)</f>
        <v>El valor ingresado como codigo de ubigeo no cumple con el estandar.</v>
      </c>
      <c r="M170" s="36" t="s">
        <v>67</v>
      </c>
      <c r="N170" s="5"/>
      <c r="O170" s="84"/>
    </row>
    <row r="171" spans="1:15" s="85" customFormat="1" ht="24" x14ac:dyDescent="0.25">
      <c r="A171" s="72"/>
      <c r="B171" s="296"/>
      <c r="C171" s="279"/>
      <c r="D171" s="296"/>
      <c r="E171" s="296"/>
      <c r="F171" s="296"/>
      <c r="G171" s="288"/>
      <c r="H171" s="344"/>
      <c r="I171" s="29" t="s">
        <v>884</v>
      </c>
      <c r="J171" s="36" t="s">
        <v>65</v>
      </c>
      <c r="K171" s="41" t="s">
        <v>767</v>
      </c>
      <c r="L171" s="44" t="str">
        <f>VLOOKUP(K171,[1]CódigosRetorno!$A$2:$B$1996,2,FALSE)</f>
        <v>El codigo de ubigeo del punto de llegada no existe</v>
      </c>
      <c r="M171" s="36" t="s">
        <v>67</v>
      </c>
      <c r="N171" s="5" t="s">
        <v>711</v>
      </c>
      <c r="O171" s="84"/>
    </row>
    <row r="172" spans="1:15" s="85" customFormat="1" x14ac:dyDescent="0.25">
      <c r="A172" s="72"/>
      <c r="B172" s="296"/>
      <c r="C172" s="279"/>
      <c r="D172" s="296"/>
      <c r="E172" s="296"/>
      <c r="F172" s="296"/>
      <c r="G172" s="5" t="s">
        <v>717</v>
      </c>
      <c r="H172" s="29" t="s">
        <v>137</v>
      </c>
      <c r="I172" s="27" t="s">
        <v>718</v>
      </c>
      <c r="J172" s="34" t="s">
        <v>111</v>
      </c>
      <c r="K172" s="30" t="s">
        <v>138</v>
      </c>
      <c r="L172" s="44" t="str">
        <f>VLOOKUP(K172,[1]CódigosRetorno!$A$2:$B$1996,2,FALSE)</f>
        <v>El dato ingresado como atributo @schemeAgencyName es incorrecto.</v>
      </c>
      <c r="M172" s="36" t="s">
        <v>67</v>
      </c>
      <c r="N172" s="5"/>
      <c r="O172" s="84"/>
    </row>
    <row r="173" spans="1:15" s="85" customFormat="1" x14ac:dyDescent="0.25">
      <c r="A173" s="72"/>
      <c r="B173" s="297"/>
      <c r="C173" s="274"/>
      <c r="D173" s="297"/>
      <c r="E173" s="297"/>
      <c r="F173" s="297"/>
      <c r="G173" s="5" t="s">
        <v>719</v>
      </c>
      <c r="H173" s="29" t="s">
        <v>134</v>
      </c>
      <c r="I173" s="33" t="s">
        <v>720</v>
      </c>
      <c r="J173" s="34" t="s">
        <v>111</v>
      </c>
      <c r="K173" s="30" t="s">
        <v>136</v>
      </c>
      <c r="L173" s="44" t="str">
        <f>VLOOKUP(K173,[1]CódigosRetorno!$A$2:$B$1996,2,FALSE)</f>
        <v>El dato ingresado como atributo @schemeName es incorrecto.</v>
      </c>
      <c r="M173" s="36" t="s">
        <v>67</v>
      </c>
      <c r="N173" s="5"/>
      <c r="O173" s="84"/>
    </row>
    <row r="174" spans="1:15" s="85" customFormat="1" ht="36" x14ac:dyDescent="0.25">
      <c r="A174" s="72"/>
      <c r="B174" s="295">
        <f>B168+1</f>
        <v>33</v>
      </c>
      <c r="C174" s="273" t="s">
        <v>1089</v>
      </c>
      <c r="D174" s="295" t="s">
        <v>61</v>
      </c>
      <c r="E174" s="295" t="s">
        <v>15</v>
      </c>
      <c r="F174" s="346" t="s">
        <v>26</v>
      </c>
      <c r="G174" s="287"/>
      <c r="H174" s="343" t="s">
        <v>770</v>
      </c>
      <c r="I174" s="44" t="s">
        <v>1090</v>
      </c>
      <c r="J174" s="36" t="s">
        <v>65</v>
      </c>
      <c r="K174" s="41" t="s">
        <v>771</v>
      </c>
      <c r="L174" s="44" t="str">
        <f>VLOOKUP(K174,[1]CódigosRetorno!$A$2:$B$1996,2,FALSE)</f>
        <v>El XML no contiene el tag o no existe informacion de direccion detallada de punto de llegada.</v>
      </c>
      <c r="M174" s="36" t="s">
        <v>67</v>
      </c>
      <c r="N174" s="5"/>
      <c r="O174" s="84"/>
    </row>
    <row r="175" spans="1:15" s="85" customFormat="1" ht="36" x14ac:dyDescent="0.25">
      <c r="A175" s="72"/>
      <c r="B175" s="296"/>
      <c r="C175" s="279"/>
      <c r="D175" s="296"/>
      <c r="E175" s="296"/>
      <c r="F175" s="348"/>
      <c r="G175" s="288"/>
      <c r="H175" s="344"/>
      <c r="I175" s="44" t="s">
        <v>1091</v>
      </c>
      <c r="J175" s="36" t="s">
        <v>111</v>
      </c>
      <c r="K175" s="41" t="s">
        <v>1092</v>
      </c>
      <c r="L175" s="44" t="str">
        <f>VLOOKUP(K175,[1]CódigosRetorno!$A$2:$B$1996,2,FALSE)</f>
        <v>cac:DeliveryAddress: Debe consignar Dirección del punto de llegada (cbc:StreetName).</v>
      </c>
      <c r="M175" s="36" t="s">
        <v>67</v>
      </c>
      <c r="N175" s="5"/>
      <c r="O175" s="84"/>
    </row>
    <row r="176" spans="1:15" s="85" customFormat="1" ht="60" x14ac:dyDescent="0.25">
      <c r="A176" s="72"/>
      <c r="B176" s="297"/>
      <c r="C176" s="274"/>
      <c r="D176" s="297"/>
      <c r="E176" s="297"/>
      <c r="F176" s="347"/>
      <c r="G176" s="291"/>
      <c r="H176" s="345"/>
      <c r="I176" s="29" t="s">
        <v>1093</v>
      </c>
      <c r="J176" s="36" t="s">
        <v>111</v>
      </c>
      <c r="K176" s="41" t="s">
        <v>773</v>
      </c>
      <c r="L176" s="44" t="str">
        <f>VLOOKUP(K176,[1]CódigosRetorno!$A$2:$B$1996,2,FALSE)</f>
        <v>Direccion de punto de llegada - El dato ingresado no cumple con el formato establecido.</v>
      </c>
      <c r="M176" s="36" t="s">
        <v>67</v>
      </c>
      <c r="N176" s="5"/>
      <c r="O176" s="84"/>
    </row>
    <row r="177" spans="1:15" s="85" customFormat="1" ht="36" x14ac:dyDescent="0.25">
      <c r="A177" s="72"/>
      <c r="B177" s="295">
        <f>B174+1</f>
        <v>34</v>
      </c>
      <c r="C177" s="273" t="s">
        <v>790</v>
      </c>
      <c r="D177" s="295" t="s">
        <v>61</v>
      </c>
      <c r="E177" s="295" t="s">
        <v>15</v>
      </c>
      <c r="F177" s="5" t="s">
        <v>74</v>
      </c>
      <c r="G177" s="5" t="s">
        <v>754</v>
      </c>
      <c r="H177" s="29" t="s">
        <v>791</v>
      </c>
      <c r="I177" s="27" t="s">
        <v>756</v>
      </c>
      <c r="J177" s="5" t="s">
        <v>65</v>
      </c>
      <c r="K177" s="41" t="s">
        <v>757</v>
      </c>
      <c r="L177" s="44" t="str">
        <f>VLOOKUP(K177,[1]CódigosRetorno!$A$2:$B$1996,2,FALSE)</f>
        <v>El valor ingresado como Punto de georreferencia no cumple con el formato establecido</v>
      </c>
      <c r="M177" s="36" t="s">
        <v>67</v>
      </c>
      <c r="N177" s="5"/>
      <c r="O177" s="84"/>
    </row>
    <row r="178" spans="1:15" s="85" customFormat="1" x14ac:dyDescent="0.25">
      <c r="A178" s="72"/>
      <c r="B178" s="296"/>
      <c r="C178" s="279"/>
      <c r="D178" s="296"/>
      <c r="E178" s="296"/>
      <c r="F178" s="5" t="s">
        <v>30</v>
      </c>
      <c r="G178" s="5" t="s">
        <v>758</v>
      </c>
      <c r="H178" s="29" t="s">
        <v>759</v>
      </c>
      <c r="I178" s="29" t="s">
        <v>391</v>
      </c>
      <c r="J178" s="36"/>
      <c r="K178" s="41" t="s">
        <v>58</v>
      </c>
      <c r="L178" s="44" t="str">
        <f>VLOOKUP(K178,[1]CódigosRetorno!$A$2:$B$1996,2,FALSE)</f>
        <v>-</v>
      </c>
      <c r="M178" s="36"/>
      <c r="N178" s="5"/>
      <c r="O178" s="84"/>
    </row>
    <row r="179" spans="1:15" s="85" customFormat="1" ht="36" x14ac:dyDescent="0.25">
      <c r="A179" s="72"/>
      <c r="B179" s="296"/>
      <c r="C179" s="279"/>
      <c r="D179" s="296"/>
      <c r="E179" s="296"/>
      <c r="F179" s="5" t="s">
        <v>74</v>
      </c>
      <c r="G179" s="5" t="s">
        <v>754</v>
      </c>
      <c r="H179" s="29" t="s">
        <v>792</v>
      </c>
      <c r="I179" s="27" t="s">
        <v>756</v>
      </c>
      <c r="J179" s="5" t="s">
        <v>65</v>
      </c>
      <c r="K179" s="41" t="s">
        <v>757</v>
      </c>
      <c r="L179" s="44" t="str">
        <f>VLOOKUP(K179,[1]CódigosRetorno!$A$2:$B$1996,2,FALSE)</f>
        <v>El valor ingresado como Punto de georreferencia no cumple con el formato establecido</v>
      </c>
      <c r="M179" s="36" t="s">
        <v>67</v>
      </c>
      <c r="N179" s="5"/>
      <c r="O179" s="84"/>
    </row>
    <row r="180" spans="1:15" s="85" customFormat="1" x14ac:dyDescent="0.25">
      <c r="A180" s="72"/>
      <c r="B180" s="297"/>
      <c r="C180" s="274"/>
      <c r="D180" s="297"/>
      <c r="E180" s="297"/>
      <c r="F180" s="5" t="s">
        <v>30</v>
      </c>
      <c r="G180" s="5" t="s">
        <v>758</v>
      </c>
      <c r="H180" s="29" t="s">
        <v>759</v>
      </c>
      <c r="I180" s="29" t="s">
        <v>391</v>
      </c>
      <c r="J180" s="36"/>
      <c r="K180" s="41" t="s">
        <v>58</v>
      </c>
      <c r="L180" s="44" t="str">
        <f>VLOOKUP(K180,[1]CódigosRetorno!$A$2:$B$1996,2,FALSE)</f>
        <v>-</v>
      </c>
      <c r="M180" s="36"/>
      <c r="N180" s="5"/>
      <c r="O180" s="84"/>
    </row>
    <row r="181" spans="1:15" x14ac:dyDescent="0.25">
      <c r="B181" s="92" t="s">
        <v>1094</v>
      </c>
      <c r="C181" s="93"/>
      <c r="D181" s="94"/>
      <c r="E181" s="95"/>
      <c r="F181" s="96"/>
      <c r="G181" s="97"/>
      <c r="H181" s="93"/>
      <c r="I181" s="93"/>
      <c r="J181" s="94"/>
      <c r="K181" s="98"/>
      <c r="L181" s="93"/>
      <c r="M181" s="94"/>
      <c r="N181" s="99"/>
      <c r="O181" s="81"/>
    </row>
    <row r="182" spans="1:15" s="85" customFormat="1" ht="24" x14ac:dyDescent="0.25">
      <c r="A182" s="72"/>
      <c r="B182" s="295">
        <f>B177+1</f>
        <v>35</v>
      </c>
      <c r="C182" s="273" t="s">
        <v>1095</v>
      </c>
      <c r="D182" s="295" t="s">
        <v>61</v>
      </c>
      <c r="E182" s="295" t="s">
        <v>5</v>
      </c>
      <c r="F182" s="287" t="s">
        <v>25</v>
      </c>
      <c r="G182" s="287"/>
      <c r="H182" s="343" t="s">
        <v>585</v>
      </c>
      <c r="I182" s="29" t="s">
        <v>1096</v>
      </c>
      <c r="J182" s="36" t="s">
        <v>65</v>
      </c>
      <c r="K182" s="41" t="s">
        <v>587</v>
      </c>
      <c r="L182" s="44" t="str">
        <f>VLOOKUP(K182,[1]CódigosRetorno!$A$2:$B$1996,2,FALSE)</f>
        <v>El XML no contiene el tag o no existe informacion del Numero de placa del vehículo.</v>
      </c>
      <c r="M182" s="36" t="s">
        <v>67</v>
      </c>
      <c r="N182" s="5"/>
      <c r="O182" s="84"/>
    </row>
    <row r="183" spans="1:15" s="85" customFormat="1" ht="48" x14ac:dyDescent="0.25">
      <c r="A183" s="72"/>
      <c r="B183" s="296"/>
      <c r="C183" s="279"/>
      <c r="D183" s="296"/>
      <c r="E183" s="296"/>
      <c r="F183" s="288"/>
      <c r="G183" s="288"/>
      <c r="H183" s="344"/>
      <c r="I183" s="44" t="s">
        <v>591</v>
      </c>
      <c r="J183" s="36" t="s">
        <v>65</v>
      </c>
      <c r="K183" s="41" t="s">
        <v>592</v>
      </c>
      <c r="L183" s="44" t="str">
        <f>VLOOKUP(K183,[1]CódigosRetorno!$A$2:$B$1996,2,FALSE)</f>
        <v>Numero de placa del vehículo - El dato ingresado no cumple con el formato establecido.</v>
      </c>
      <c r="M183" s="36" t="s">
        <v>67</v>
      </c>
      <c r="N183" s="5"/>
      <c r="O183" s="84"/>
    </row>
    <row r="184" spans="1:15" s="85" customFormat="1" ht="24" x14ac:dyDescent="0.25">
      <c r="A184" s="72"/>
      <c r="B184" s="297"/>
      <c r="C184" s="274"/>
      <c r="D184" s="297"/>
      <c r="E184" s="297"/>
      <c r="F184" s="291"/>
      <c r="G184" s="291"/>
      <c r="H184" s="345"/>
      <c r="I184" s="44" t="s">
        <v>593</v>
      </c>
      <c r="J184" s="36" t="s">
        <v>111</v>
      </c>
      <c r="K184" s="41" t="s">
        <v>594</v>
      </c>
      <c r="L184" s="44" t="str">
        <f>VLOOKUP(K184,[1]CódigosRetorno!$A$2:$B$1996,2,FALSE)</f>
        <v>El Numero de placa no se encuentra en las bases consultadas</v>
      </c>
      <c r="M184" s="36" t="s">
        <v>244</v>
      </c>
      <c r="N184" s="5" t="s">
        <v>595</v>
      </c>
      <c r="O184" s="84"/>
    </row>
    <row r="185" spans="1:15" s="85" customFormat="1" ht="24" x14ac:dyDescent="0.25">
      <c r="A185" s="72"/>
      <c r="B185" s="295">
        <f>B182+1</f>
        <v>36</v>
      </c>
      <c r="C185" s="273" t="s">
        <v>596</v>
      </c>
      <c r="D185" s="295" t="s">
        <v>61</v>
      </c>
      <c r="E185" s="295" t="s">
        <v>15</v>
      </c>
      <c r="F185" s="295" t="s">
        <v>18</v>
      </c>
      <c r="G185" s="295"/>
      <c r="H185" s="343" t="s">
        <v>1097</v>
      </c>
      <c r="I185" s="29" t="s">
        <v>1096</v>
      </c>
      <c r="J185" s="36" t="s">
        <v>111</v>
      </c>
      <c r="K185" s="41" t="s">
        <v>599</v>
      </c>
      <c r="L185" s="44" t="str">
        <f>VLOOKUP(K185,[1]CódigosRetorno!$A$2:$B$1996,2,FALSE)</f>
        <v>No ha consignado el Numero de Constancia de Inscripcion Vehicular o Certificado de Habilitacion Vehicular o la TUC (fisica o electronica)</v>
      </c>
      <c r="M185" s="36" t="s">
        <v>67</v>
      </c>
      <c r="N185" s="5"/>
      <c r="O185" s="84"/>
    </row>
    <row r="186" spans="1:15" s="85" customFormat="1" ht="48" x14ac:dyDescent="0.25">
      <c r="A186" s="72"/>
      <c r="B186" s="296"/>
      <c r="C186" s="279"/>
      <c r="D186" s="296"/>
      <c r="E186" s="296"/>
      <c r="F186" s="296"/>
      <c r="G186" s="296"/>
      <c r="H186" s="344"/>
      <c r="I186" s="44" t="s">
        <v>1098</v>
      </c>
      <c r="J186" s="36" t="s">
        <v>65</v>
      </c>
      <c r="K186" s="41" t="s">
        <v>603</v>
      </c>
      <c r="L186" s="44" t="str">
        <f>VLOOKUP(K186,[1]CódigosRetorno!$A$2:$B$1996,2,FALSE)</f>
        <v>El Numero de Constancia de Inscripcion Vehicular o Certificado de Habilitacion Vehicular o la TUC (fisica o electronica) no cumple con el formato establecido</v>
      </c>
      <c r="M186" s="36" t="s">
        <v>67</v>
      </c>
      <c r="N186" s="5"/>
      <c r="O186" s="84"/>
    </row>
    <row r="187" spans="1:15" s="85" customFormat="1" ht="24" customHeight="1" x14ac:dyDescent="0.25">
      <c r="A187" s="72"/>
      <c r="B187" s="297"/>
      <c r="C187" s="274"/>
      <c r="D187" s="297"/>
      <c r="E187" s="297"/>
      <c r="F187" s="297"/>
      <c r="G187" s="297"/>
      <c r="H187" s="345"/>
      <c r="I187" s="29" t="s">
        <v>572</v>
      </c>
      <c r="J187" s="36" t="s">
        <v>111</v>
      </c>
      <c r="K187" s="41" t="s">
        <v>604</v>
      </c>
      <c r="L187" s="44" t="str">
        <f>VLOOKUP(K187,[1]CódigosRetorno!$A$2:$B$1996,2,FALSE)</f>
        <v>El Numero de Constancia de Inscripcion Vehicular o Certificado de Habilitacion Vehicular o la TUC (fisica o electronica) no se encuentra en las bases consultadas</v>
      </c>
      <c r="M187" s="36" t="s">
        <v>244</v>
      </c>
      <c r="N187" s="5" t="s">
        <v>574</v>
      </c>
      <c r="O187" s="84"/>
    </row>
    <row r="188" spans="1:15" s="85" customFormat="1" ht="48" x14ac:dyDescent="0.25">
      <c r="A188" s="72"/>
      <c r="B188" s="287">
        <v>37</v>
      </c>
      <c r="C188" s="273" t="s">
        <v>1099</v>
      </c>
      <c r="D188" s="295" t="s">
        <v>61</v>
      </c>
      <c r="E188" s="295" t="s">
        <v>15</v>
      </c>
      <c r="F188" s="287" t="s">
        <v>162</v>
      </c>
      <c r="G188" s="287"/>
      <c r="H188" s="343" t="s">
        <v>606</v>
      </c>
      <c r="I188" s="27" t="s">
        <v>985</v>
      </c>
      <c r="J188" s="5" t="s">
        <v>111</v>
      </c>
      <c r="K188" s="3" t="s">
        <v>609</v>
      </c>
      <c r="L188" s="44" t="str">
        <f>VLOOKUP(K188,[1]CódigosRetorno!$A$2:$B$1996,2,FALSE)</f>
        <v>El Numero de autorizacion del vehiculo no cumple con el formato establecido</v>
      </c>
      <c r="M188" s="36" t="s">
        <v>67</v>
      </c>
      <c r="N188" s="5"/>
      <c r="O188" s="84"/>
    </row>
    <row r="189" spans="1:15" s="85" customFormat="1" ht="24" x14ac:dyDescent="0.25">
      <c r="A189" s="72"/>
      <c r="B189" s="288"/>
      <c r="C189" s="279"/>
      <c r="D189" s="296"/>
      <c r="E189" s="296"/>
      <c r="F189" s="291"/>
      <c r="G189" s="291"/>
      <c r="H189" s="345"/>
      <c r="I189" s="27" t="s">
        <v>628</v>
      </c>
      <c r="J189" s="5" t="s">
        <v>65</v>
      </c>
      <c r="K189" s="3" t="s">
        <v>611</v>
      </c>
      <c r="L189" s="44" t="str">
        <f>VLOOKUP(K189,[1]CódigosRetorno!$A$2:$B$1996,2,FALSE)</f>
        <v>Solo debe consignar un Numero de autorizacion del vehiculo</v>
      </c>
      <c r="M189" s="36" t="s">
        <v>67</v>
      </c>
      <c r="N189" s="5"/>
      <c r="O189" s="84"/>
    </row>
    <row r="190" spans="1:15" s="85" customFormat="1" ht="24" x14ac:dyDescent="0.25">
      <c r="A190" s="72"/>
      <c r="B190" s="296"/>
      <c r="C190" s="279"/>
      <c r="D190" s="296"/>
      <c r="E190" s="296"/>
      <c r="F190" s="287" t="s">
        <v>30</v>
      </c>
      <c r="G190" s="280" t="s">
        <v>986</v>
      </c>
      <c r="H190" s="343" t="s">
        <v>1100</v>
      </c>
      <c r="I190" s="27" t="s">
        <v>173</v>
      </c>
      <c r="J190" s="5" t="s">
        <v>111</v>
      </c>
      <c r="K190" s="3" t="s">
        <v>613</v>
      </c>
      <c r="L190" s="44" t="str">
        <f>VLOOKUP(K190,[1]CódigosRetorno!$A$2:$B$1996,2,FALSE)</f>
        <v>Debe indicar la entidad autorizadora del vehiculo</v>
      </c>
      <c r="M190" s="36" t="s">
        <v>67</v>
      </c>
      <c r="N190" s="5"/>
      <c r="O190" s="84"/>
    </row>
    <row r="191" spans="1:15" s="85" customFormat="1" ht="24" x14ac:dyDescent="0.25">
      <c r="A191" s="72"/>
      <c r="B191" s="296"/>
      <c r="C191" s="279"/>
      <c r="D191" s="296"/>
      <c r="E191" s="296"/>
      <c r="F191" s="288"/>
      <c r="G191" s="288"/>
      <c r="H191" s="344"/>
      <c r="I191" s="27" t="s">
        <v>170</v>
      </c>
      <c r="J191" s="5" t="s">
        <v>111</v>
      </c>
      <c r="K191" s="3" t="s">
        <v>614</v>
      </c>
      <c r="L191" s="44" t="str">
        <f>VLOOKUP(K191,[1]CódigosRetorno!$A$2:$B$1996,2,FALSE)</f>
        <v>El Codigo de entidad autorizadora del vehiculo no corresponde a un valor esperado</v>
      </c>
      <c r="M191" s="36" t="s">
        <v>67</v>
      </c>
      <c r="N191" s="37" t="s">
        <v>172</v>
      </c>
      <c r="O191" s="84"/>
    </row>
    <row r="192" spans="1:15" s="85" customFormat="1" ht="24" x14ac:dyDescent="0.25">
      <c r="A192" s="72"/>
      <c r="B192" s="296"/>
      <c r="C192" s="279"/>
      <c r="D192" s="296"/>
      <c r="E192" s="296"/>
      <c r="F192" s="291"/>
      <c r="G192" s="291"/>
      <c r="H192" s="345"/>
      <c r="I192" s="27" t="s">
        <v>615</v>
      </c>
      <c r="J192" s="5" t="s">
        <v>111</v>
      </c>
      <c r="K192" s="3" t="s">
        <v>616</v>
      </c>
      <c r="L192" s="44" t="str">
        <f>VLOOKUP(K192,[1]CódigosRetorno!$A$2:$B$1996,2,FALSE)</f>
        <v>Si existe el Codigo de entidad autorizadora, debe consignar el Numero de autorizacion especial del vehiculo</v>
      </c>
      <c r="M192" s="36" t="s">
        <v>67</v>
      </c>
      <c r="N192" s="5"/>
      <c r="O192" s="84"/>
    </row>
    <row r="193" spans="1:15" s="85" customFormat="1" ht="24" x14ac:dyDescent="0.25">
      <c r="A193" s="72"/>
      <c r="B193" s="296"/>
      <c r="C193" s="279"/>
      <c r="D193" s="296"/>
      <c r="E193" s="296"/>
      <c r="F193" s="287"/>
      <c r="G193" s="5" t="s">
        <v>177</v>
      </c>
      <c r="H193" s="29" t="s">
        <v>134</v>
      </c>
      <c r="I193" s="29" t="s">
        <v>178</v>
      </c>
      <c r="J193" s="36" t="s">
        <v>111</v>
      </c>
      <c r="K193" s="41" t="s">
        <v>136</v>
      </c>
      <c r="L193" s="44" t="str">
        <f>VLOOKUP(K193,[1]CódigosRetorno!$A$2:$B$1996,2,FALSE)</f>
        <v>El dato ingresado como atributo @schemeName es incorrecto.</v>
      </c>
      <c r="M193" s="36" t="s">
        <v>67</v>
      </c>
      <c r="N193" s="5"/>
      <c r="O193" s="84"/>
    </row>
    <row r="194" spans="1:15" s="85" customFormat="1" x14ac:dyDescent="0.25">
      <c r="A194" s="72"/>
      <c r="B194" s="296"/>
      <c r="C194" s="279"/>
      <c r="D194" s="296"/>
      <c r="E194" s="296"/>
      <c r="F194" s="288"/>
      <c r="G194" s="5" t="s">
        <v>108</v>
      </c>
      <c r="H194" s="29" t="s">
        <v>137</v>
      </c>
      <c r="I194" s="29" t="s">
        <v>110</v>
      </c>
      <c r="J194" s="36" t="s">
        <v>111</v>
      </c>
      <c r="K194" s="41" t="s">
        <v>138</v>
      </c>
      <c r="L194" s="44" t="str">
        <f>VLOOKUP(K194,[1]CódigosRetorno!$A$2:$B$1996,2,FALSE)</f>
        <v>El dato ingresado como atributo @schemeAgencyName es incorrecto.</v>
      </c>
      <c r="M194" s="36" t="s">
        <v>67</v>
      </c>
      <c r="N194" s="5"/>
      <c r="O194" s="84"/>
    </row>
    <row r="195" spans="1:15" x14ac:dyDescent="0.25">
      <c r="B195" s="92" t="s">
        <v>1101</v>
      </c>
      <c r="C195" s="93"/>
      <c r="D195" s="94"/>
      <c r="E195" s="95"/>
      <c r="F195" s="96"/>
      <c r="G195" s="97"/>
      <c r="H195" s="93"/>
      <c r="I195" s="93"/>
      <c r="J195" s="94"/>
      <c r="K195" s="98"/>
      <c r="L195" s="93"/>
      <c r="M195" s="94"/>
      <c r="N195" s="99"/>
      <c r="O195" s="81"/>
    </row>
    <row r="196" spans="1:15" s="85" customFormat="1" x14ac:dyDescent="0.25">
      <c r="A196" s="72"/>
      <c r="B196" s="295">
        <v>38</v>
      </c>
      <c r="C196" s="273" t="s">
        <v>584</v>
      </c>
      <c r="D196" s="295" t="s">
        <v>61</v>
      </c>
      <c r="E196" s="295" t="s">
        <v>15</v>
      </c>
      <c r="F196" s="287" t="s">
        <v>25</v>
      </c>
      <c r="G196" s="287"/>
      <c r="H196" s="343" t="s">
        <v>618</v>
      </c>
      <c r="I196" s="27" t="s">
        <v>619</v>
      </c>
      <c r="J196" s="5" t="s">
        <v>111</v>
      </c>
      <c r="K196" s="3" t="s">
        <v>620</v>
      </c>
      <c r="L196" s="44" t="str">
        <f>VLOOKUP(K196,[1]CódigosRetorno!$A$2:$B$1996,2,FALSE)</f>
        <v>Solo corresponde consignar hasta dos vehiculos secundarios</v>
      </c>
      <c r="M196" s="5" t="s">
        <v>67</v>
      </c>
      <c r="N196" s="5"/>
      <c r="O196" s="84"/>
    </row>
    <row r="197" spans="1:15" s="85" customFormat="1" ht="48" x14ac:dyDescent="0.25">
      <c r="A197" s="72"/>
      <c r="B197" s="296"/>
      <c r="C197" s="279"/>
      <c r="D197" s="296"/>
      <c r="E197" s="296"/>
      <c r="F197" s="288"/>
      <c r="G197" s="288"/>
      <c r="H197" s="344"/>
      <c r="I197" s="44" t="s">
        <v>591</v>
      </c>
      <c r="J197" s="36" t="s">
        <v>65</v>
      </c>
      <c r="K197" s="41" t="s">
        <v>592</v>
      </c>
      <c r="L197" s="44" t="str">
        <f>VLOOKUP(K197,[1]CódigosRetorno!$A$2:$B$1996,2,FALSE)</f>
        <v>Numero de placa del vehículo - El dato ingresado no cumple con el formato establecido.</v>
      </c>
      <c r="M197" s="36" t="s">
        <v>67</v>
      </c>
      <c r="N197" s="5"/>
      <c r="O197" s="84"/>
    </row>
    <row r="198" spans="1:15" s="85" customFormat="1" ht="24" x14ac:dyDescent="0.25">
      <c r="A198" s="72"/>
      <c r="B198" s="297"/>
      <c r="C198" s="274"/>
      <c r="D198" s="297"/>
      <c r="E198" s="297"/>
      <c r="F198" s="291"/>
      <c r="G198" s="291"/>
      <c r="H198" s="345"/>
      <c r="I198" s="29" t="s">
        <v>593</v>
      </c>
      <c r="J198" s="36" t="s">
        <v>111</v>
      </c>
      <c r="K198" s="41" t="s">
        <v>594</v>
      </c>
      <c r="L198" s="44" t="str">
        <f>VLOOKUP(K198,[1]CódigosRetorno!$A$2:$B$1996,2,FALSE)</f>
        <v>El Numero de placa no se encuentra en las bases consultadas</v>
      </c>
      <c r="M198" s="36" t="s">
        <v>85</v>
      </c>
      <c r="N198" s="5" t="s">
        <v>595</v>
      </c>
      <c r="O198" s="84"/>
    </row>
    <row r="199" spans="1:15" s="85" customFormat="1" ht="24" x14ac:dyDescent="0.25">
      <c r="A199" s="72"/>
      <c r="B199" s="295">
        <f>B196+1</f>
        <v>39</v>
      </c>
      <c r="C199" s="273" t="s">
        <v>596</v>
      </c>
      <c r="D199" s="295" t="s">
        <v>61</v>
      </c>
      <c r="E199" s="295" t="s">
        <v>15</v>
      </c>
      <c r="F199" s="287" t="s">
        <v>18</v>
      </c>
      <c r="G199" s="287"/>
      <c r="H199" s="343" t="s">
        <v>622</v>
      </c>
      <c r="I199" s="29" t="s">
        <v>1102</v>
      </c>
      <c r="J199" s="36" t="s">
        <v>111</v>
      </c>
      <c r="K199" s="41" t="s">
        <v>599</v>
      </c>
      <c r="L199" s="44" t="str">
        <f>VLOOKUP(K199,[1]CódigosRetorno!$A$2:$B$1996,2,FALSE)</f>
        <v>No ha consignado el Numero de Constancia de Inscripcion Vehicular o Certificado de Habilitacion Vehicular o la TUC (fisica o electronica)</v>
      </c>
      <c r="M199" s="36" t="s">
        <v>67</v>
      </c>
      <c r="N199" s="5"/>
      <c r="O199" s="84"/>
    </row>
    <row r="200" spans="1:15" s="85" customFormat="1" ht="48.6" customHeight="1" x14ac:dyDescent="0.25">
      <c r="A200" s="72"/>
      <c r="B200" s="296"/>
      <c r="C200" s="279"/>
      <c r="D200" s="296"/>
      <c r="E200" s="296"/>
      <c r="F200" s="288"/>
      <c r="G200" s="288"/>
      <c r="H200" s="344"/>
      <c r="I200" s="44" t="s">
        <v>1103</v>
      </c>
      <c r="J200" s="36" t="s">
        <v>65</v>
      </c>
      <c r="K200" s="41" t="s">
        <v>603</v>
      </c>
      <c r="L200" s="44" t="str">
        <f>VLOOKUP(K200,[1]CódigosRetorno!$A$2:$B$1996,2,FALSE)</f>
        <v>El Numero de Constancia de Inscripcion Vehicular o Certificado de Habilitacion Vehicular o la TUC (fisica o electronica) no cumple con el formato establecido</v>
      </c>
      <c r="M200" s="36" t="s">
        <v>67</v>
      </c>
      <c r="N200" s="5"/>
      <c r="O200" s="84"/>
    </row>
    <row r="201" spans="1:15" s="85" customFormat="1" ht="36" x14ac:dyDescent="0.25">
      <c r="A201" s="72"/>
      <c r="B201" s="297"/>
      <c r="C201" s="274"/>
      <c r="D201" s="297"/>
      <c r="E201" s="297"/>
      <c r="F201" s="291"/>
      <c r="G201" s="291"/>
      <c r="H201" s="345"/>
      <c r="I201" s="29" t="s">
        <v>572</v>
      </c>
      <c r="J201" s="36" t="s">
        <v>111</v>
      </c>
      <c r="K201" s="41" t="s">
        <v>604</v>
      </c>
      <c r="L201" s="44" t="str">
        <f>VLOOKUP(K201,[1]CódigosRetorno!$A$2:$B$1996,2,FALSE)</f>
        <v>El Numero de Constancia de Inscripcion Vehicular o Certificado de Habilitacion Vehicular o la TUC (fisica o electronica) no se encuentra en las bases consultadas</v>
      </c>
      <c r="M201" s="36" t="s">
        <v>85</v>
      </c>
      <c r="N201" s="5" t="s">
        <v>574</v>
      </c>
      <c r="O201" s="84"/>
    </row>
    <row r="202" spans="1:15" s="85" customFormat="1" ht="60" x14ac:dyDescent="0.25">
      <c r="A202" s="72"/>
      <c r="B202" s="287">
        <f>B199+1</f>
        <v>40</v>
      </c>
      <c r="C202" s="273" t="s">
        <v>1104</v>
      </c>
      <c r="D202" s="295" t="s">
        <v>61</v>
      </c>
      <c r="E202" s="295" t="s">
        <v>15</v>
      </c>
      <c r="F202" s="287" t="s">
        <v>162</v>
      </c>
      <c r="G202" s="287"/>
      <c r="H202" s="343" t="s">
        <v>627</v>
      </c>
      <c r="I202" s="27" t="s">
        <v>578</v>
      </c>
      <c r="J202" s="5" t="s">
        <v>111</v>
      </c>
      <c r="K202" s="3" t="s">
        <v>609</v>
      </c>
      <c r="L202" s="44" t="str">
        <f>VLOOKUP(K202,[1]CódigosRetorno!$A$2:$B$1996,2,FALSE)</f>
        <v>El Numero de autorizacion del vehiculo no cumple con el formato establecido</v>
      </c>
      <c r="M202" s="36" t="s">
        <v>67</v>
      </c>
      <c r="N202" s="5"/>
      <c r="O202" s="84"/>
    </row>
    <row r="203" spans="1:15" s="85" customFormat="1" ht="24" x14ac:dyDescent="0.25">
      <c r="A203" s="72"/>
      <c r="B203" s="288"/>
      <c r="C203" s="279"/>
      <c r="D203" s="296"/>
      <c r="E203" s="296"/>
      <c r="F203" s="291"/>
      <c r="G203" s="291"/>
      <c r="H203" s="345"/>
      <c r="I203" s="27" t="s">
        <v>628</v>
      </c>
      <c r="J203" s="5" t="s">
        <v>65</v>
      </c>
      <c r="K203" s="3" t="s">
        <v>611</v>
      </c>
      <c r="L203" s="44" t="str">
        <f>VLOOKUP(K203,[1]CódigosRetorno!$A$2:$B$1996,2,FALSE)</f>
        <v>Solo debe consignar un Numero de autorizacion del vehiculo</v>
      </c>
      <c r="M203" s="36" t="s">
        <v>67</v>
      </c>
      <c r="N203" s="5"/>
      <c r="O203" s="84"/>
    </row>
    <row r="204" spans="1:15" s="85" customFormat="1" ht="24" x14ac:dyDescent="0.25">
      <c r="A204" s="72"/>
      <c r="B204" s="288"/>
      <c r="C204" s="279"/>
      <c r="D204" s="296"/>
      <c r="E204" s="296"/>
      <c r="F204" s="287" t="s">
        <v>30</v>
      </c>
      <c r="G204" s="280" t="s">
        <v>986</v>
      </c>
      <c r="H204" s="343" t="s">
        <v>1105</v>
      </c>
      <c r="I204" s="27" t="s">
        <v>173</v>
      </c>
      <c r="J204" s="5" t="s">
        <v>111</v>
      </c>
      <c r="K204" s="3" t="s">
        <v>613</v>
      </c>
      <c r="L204" s="44" t="str">
        <f>VLOOKUP(K204,[1]CódigosRetorno!$A$2:$B$1996,2,FALSE)</f>
        <v>Debe indicar la entidad autorizadora del vehiculo</v>
      </c>
      <c r="M204" s="36" t="s">
        <v>67</v>
      </c>
      <c r="N204" s="5"/>
      <c r="O204" s="84"/>
    </row>
    <row r="205" spans="1:15" s="85" customFormat="1" ht="24" x14ac:dyDescent="0.25">
      <c r="A205" s="72"/>
      <c r="B205" s="288"/>
      <c r="C205" s="279"/>
      <c r="D205" s="296"/>
      <c r="E205" s="296"/>
      <c r="F205" s="288"/>
      <c r="G205" s="288"/>
      <c r="H205" s="344"/>
      <c r="I205" s="27" t="s">
        <v>170</v>
      </c>
      <c r="J205" s="5" t="s">
        <v>111</v>
      </c>
      <c r="K205" s="3" t="s">
        <v>614</v>
      </c>
      <c r="L205" s="44" t="str">
        <f>VLOOKUP(K205,[1]CódigosRetorno!$A$2:$B$1996,2,FALSE)</f>
        <v>El Codigo de entidad autorizadora del vehiculo no corresponde a un valor esperado</v>
      </c>
      <c r="M205" s="36" t="s">
        <v>67</v>
      </c>
      <c r="N205" s="37" t="s">
        <v>172</v>
      </c>
      <c r="O205" s="84"/>
    </row>
    <row r="206" spans="1:15" s="85" customFormat="1" ht="24" x14ac:dyDescent="0.25">
      <c r="A206" s="72"/>
      <c r="B206" s="288"/>
      <c r="C206" s="279"/>
      <c r="D206" s="296"/>
      <c r="E206" s="296"/>
      <c r="F206" s="291"/>
      <c r="G206" s="291"/>
      <c r="H206" s="345"/>
      <c r="I206" s="27" t="s">
        <v>615</v>
      </c>
      <c r="J206" s="5" t="s">
        <v>111</v>
      </c>
      <c r="K206" s="3" t="s">
        <v>616</v>
      </c>
      <c r="L206" s="44" t="str">
        <f>VLOOKUP(K206,[1]CódigosRetorno!$A$2:$B$1996,2,FALSE)</f>
        <v>Si existe el Codigo de entidad autorizadora, debe consignar el Numero de autorizacion especial del vehiculo</v>
      </c>
      <c r="M206" s="36" t="s">
        <v>67</v>
      </c>
      <c r="N206" s="5"/>
      <c r="O206" s="84"/>
    </row>
    <row r="207" spans="1:15" s="85" customFormat="1" ht="24" x14ac:dyDescent="0.25">
      <c r="A207" s="72"/>
      <c r="B207" s="288"/>
      <c r="C207" s="279"/>
      <c r="D207" s="296"/>
      <c r="E207" s="296"/>
      <c r="F207" s="287"/>
      <c r="G207" s="5" t="s">
        <v>177</v>
      </c>
      <c r="H207" s="29" t="s">
        <v>134</v>
      </c>
      <c r="I207" s="29" t="s">
        <v>178</v>
      </c>
      <c r="J207" s="36" t="s">
        <v>111</v>
      </c>
      <c r="K207" s="41" t="s">
        <v>136</v>
      </c>
      <c r="L207" s="44" t="str">
        <f>VLOOKUP(K207,[1]CódigosRetorno!$A$2:$B$1996,2,FALSE)</f>
        <v>El dato ingresado como atributo @schemeName es incorrecto.</v>
      </c>
      <c r="M207" s="36" t="s">
        <v>67</v>
      </c>
      <c r="N207" s="5"/>
      <c r="O207" s="84"/>
    </row>
    <row r="208" spans="1:15" s="85" customFormat="1" x14ac:dyDescent="0.25">
      <c r="A208" s="72"/>
      <c r="B208" s="288"/>
      <c r="C208" s="279"/>
      <c r="D208" s="296"/>
      <c r="E208" s="296"/>
      <c r="F208" s="288"/>
      <c r="G208" s="5" t="s">
        <v>108</v>
      </c>
      <c r="H208" s="29" t="s">
        <v>137</v>
      </c>
      <c r="I208" s="29" t="s">
        <v>110</v>
      </c>
      <c r="J208" s="36" t="s">
        <v>111</v>
      </c>
      <c r="K208" s="41" t="s">
        <v>138</v>
      </c>
      <c r="L208" s="44" t="str">
        <f>VLOOKUP(K208,[1]CódigosRetorno!$A$2:$B$1996,2,FALSE)</f>
        <v>El dato ingresado como atributo @schemeAgencyName es incorrecto.</v>
      </c>
      <c r="M208" s="36" t="s">
        <v>67</v>
      </c>
      <c r="N208" s="5"/>
      <c r="O208" s="84"/>
    </row>
    <row r="209" spans="1:15" x14ac:dyDescent="0.25">
      <c r="B209" s="92" t="s">
        <v>630</v>
      </c>
      <c r="C209" s="93"/>
      <c r="D209" s="94"/>
      <c r="E209" s="95"/>
      <c r="F209" s="96"/>
      <c r="G209" s="97"/>
      <c r="H209" s="93"/>
      <c r="I209" s="93"/>
      <c r="J209" s="94"/>
      <c r="K209" s="98"/>
      <c r="L209" s="93"/>
      <c r="M209" s="94"/>
      <c r="N209" s="99"/>
      <c r="O209" s="81"/>
    </row>
    <row r="210" spans="1:15" s="85" customFormat="1" x14ac:dyDescent="0.25">
      <c r="A210" s="72"/>
      <c r="B210" s="295">
        <f>B202+1</f>
        <v>41</v>
      </c>
      <c r="C210" s="273" t="s">
        <v>631</v>
      </c>
      <c r="D210" s="295" t="s">
        <v>61</v>
      </c>
      <c r="E210" s="295" t="s">
        <v>5</v>
      </c>
      <c r="F210" s="287" t="s">
        <v>632</v>
      </c>
      <c r="G210" s="287" t="s">
        <v>633</v>
      </c>
      <c r="H210" s="343" t="s">
        <v>634</v>
      </c>
      <c r="I210" s="29" t="s">
        <v>1106</v>
      </c>
      <c r="J210" s="36" t="s">
        <v>65</v>
      </c>
      <c r="K210" s="41" t="s">
        <v>636</v>
      </c>
      <c r="L210" s="44" t="str">
        <f>VLOOKUP(K210,[1]CódigosRetorno!$A$2:$B$1996,2,FALSE)</f>
        <v>Debe consignar informacion del conductor principal</v>
      </c>
      <c r="M210" s="36" t="s">
        <v>67</v>
      </c>
      <c r="N210" s="5"/>
      <c r="O210" s="84"/>
    </row>
    <row r="211" spans="1:15" s="85" customFormat="1" ht="24" x14ac:dyDescent="0.25">
      <c r="A211" s="72"/>
      <c r="B211" s="297"/>
      <c r="C211" s="274"/>
      <c r="D211" s="297"/>
      <c r="E211" s="297"/>
      <c r="F211" s="291"/>
      <c r="G211" s="291"/>
      <c r="H211" s="345"/>
      <c r="I211" s="29" t="s">
        <v>638</v>
      </c>
      <c r="J211" s="36" t="s">
        <v>65</v>
      </c>
      <c r="K211" s="41" t="s">
        <v>639</v>
      </c>
      <c r="L211" s="44" t="str">
        <f>VLOOKUP(K211,[1]CódigosRetorno!$A$2:$B$1996,2,FALSE)</f>
        <v>Solo debe existir informacion de un conductor principal</v>
      </c>
      <c r="M211" s="36" t="s">
        <v>67</v>
      </c>
      <c r="N211" s="5"/>
      <c r="O211" s="84"/>
    </row>
    <row r="212" spans="1:15" s="85" customFormat="1" ht="24" x14ac:dyDescent="0.25">
      <c r="A212" s="72"/>
      <c r="B212" s="295">
        <f>B210+1</f>
        <v>42</v>
      </c>
      <c r="C212" s="273" t="s">
        <v>640</v>
      </c>
      <c r="D212" s="295" t="s">
        <v>61</v>
      </c>
      <c r="E212" s="295" t="s">
        <v>5</v>
      </c>
      <c r="F212" s="295" t="s">
        <v>17</v>
      </c>
      <c r="G212" s="287" t="s">
        <v>273</v>
      </c>
      <c r="H212" s="343" t="s">
        <v>1107</v>
      </c>
      <c r="I212" s="29" t="s">
        <v>1108</v>
      </c>
      <c r="J212" s="36" t="s">
        <v>65</v>
      </c>
      <c r="K212" s="41" t="s">
        <v>643</v>
      </c>
      <c r="L212" s="44" t="str">
        <f>VLOOKUP(K212,[1]CódigosRetorno!$A$2:$B$1996,2,FALSE)</f>
        <v>El XML no contiene el tag o no existe informacion del tipo de documento identidad del conductor.</v>
      </c>
      <c r="M212" s="36" t="s">
        <v>67</v>
      </c>
      <c r="N212" s="5"/>
      <c r="O212" s="84"/>
    </row>
    <row r="213" spans="1:15" s="85" customFormat="1" ht="24" x14ac:dyDescent="0.25">
      <c r="A213" s="72"/>
      <c r="B213" s="296"/>
      <c r="C213" s="279"/>
      <c r="D213" s="296"/>
      <c r="E213" s="296"/>
      <c r="F213" s="297"/>
      <c r="G213" s="291"/>
      <c r="H213" s="345"/>
      <c r="I213" s="29" t="s">
        <v>1109</v>
      </c>
      <c r="J213" s="36" t="s">
        <v>65</v>
      </c>
      <c r="K213" s="41" t="s">
        <v>649</v>
      </c>
      <c r="L213" s="44" t="str">
        <f>VLOOKUP(K213,[1]CódigosRetorno!$A$2:$B$1996,2,FALSE)</f>
        <v>cac:DriverPerson/ID@schemeID - El valor ingresado de tipo de documento identidad de conductor es incorrecto.</v>
      </c>
      <c r="M213" s="36" t="s">
        <v>67</v>
      </c>
      <c r="N213" s="5" t="s">
        <v>279</v>
      </c>
      <c r="O213" s="84"/>
    </row>
    <row r="214" spans="1:15" s="85" customFormat="1" ht="24" x14ac:dyDescent="0.25">
      <c r="A214" s="72"/>
      <c r="B214" s="296"/>
      <c r="C214" s="279"/>
      <c r="D214" s="296"/>
      <c r="E214" s="296"/>
      <c r="F214" s="295"/>
      <c r="G214" s="5" t="s">
        <v>133</v>
      </c>
      <c r="H214" s="29" t="s">
        <v>134</v>
      </c>
      <c r="I214" s="29" t="s">
        <v>135</v>
      </c>
      <c r="J214" s="36" t="s">
        <v>111</v>
      </c>
      <c r="K214" s="41" t="s">
        <v>136</v>
      </c>
      <c r="L214" s="44" t="str">
        <f>VLOOKUP(K214,[1]CódigosRetorno!$A$2:$B$1996,2,FALSE)</f>
        <v>El dato ingresado como atributo @schemeName es incorrecto.</v>
      </c>
      <c r="M214" s="36" t="s">
        <v>67</v>
      </c>
      <c r="N214" s="5"/>
      <c r="O214" s="84"/>
    </row>
    <row r="215" spans="1:15" s="85" customFormat="1" x14ac:dyDescent="0.25">
      <c r="A215" s="72"/>
      <c r="B215" s="296"/>
      <c r="C215" s="279"/>
      <c r="D215" s="296"/>
      <c r="E215" s="296"/>
      <c r="F215" s="296"/>
      <c r="G215" s="5" t="s">
        <v>108</v>
      </c>
      <c r="H215" s="29" t="s">
        <v>137</v>
      </c>
      <c r="I215" s="29" t="s">
        <v>110</v>
      </c>
      <c r="J215" s="36" t="s">
        <v>111</v>
      </c>
      <c r="K215" s="41" t="s">
        <v>138</v>
      </c>
      <c r="L215" s="44" t="str">
        <f>VLOOKUP(K215,[1]CódigosRetorno!$A$2:$B$1996,2,FALSE)</f>
        <v>El dato ingresado como atributo @schemeAgencyName es incorrecto.</v>
      </c>
      <c r="M215" s="36" t="s">
        <v>67</v>
      </c>
      <c r="N215" s="5"/>
      <c r="O215" s="84"/>
    </row>
    <row r="216" spans="1:15" s="85" customFormat="1" ht="36" x14ac:dyDescent="0.25">
      <c r="A216" s="72"/>
      <c r="B216" s="296"/>
      <c r="C216" s="279"/>
      <c r="D216" s="296"/>
      <c r="E216" s="296"/>
      <c r="F216" s="297"/>
      <c r="G216" s="5" t="s">
        <v>139</v>
      </c>
      <c r="H216" s="29" t="s">
        <v>140</v>
      </c>
      <c r="I216" s="29" t="s">
        <v>141</v>
      </c>
      <c r="J216" s="36" t="s">
        <v>111</v>
      </c>
      <c r="K216" s="41" t="s">
        <v>142</v>
      </c>
      <c r="L216" s="44" t="str">
        <f>VLOOKUP(K216,[1]CódigosRetorno!$A$2:$B$1996,2,FALSE)</f>
        <v>El dato ingresado como atributo @schemeURI es incorrecto.</v>
      </c>
      <c r="M216" s="36" t="s">
        <v>67</v>
      </c>
      <c r="N216" s="5"/>
      <c r="O216" s="84"/>
    </row>
    <row r="217" spans="1:15" s="85" customFormat="1" ht="24" x14ac:dyDescent="0.25">
      <c r="A217" s="72"/>
      <c r="B217" s="296"/>
      <c r="C217" s="279"/>
      <c r="D217" s="296"/>
      <c r="E217" s="296"/>
      <c r="F217" s="295" t="s">
        <v>18</v>
      </c>
      <c r="G217" s="295"/>
      <c r="H217" s="343" t="s">
        <v>1110</v>
      </c>
      <c r="I217" s="29" t="s">
        <v>1111</v>
      </c>
      <c r="J217" s="36" t="s">
        <v>65</v>
      </c>
      <c r="K217" s="41" t="s">
        <v>652</v>
      </c>
      <c r="L217" s="44" t="str">
        <f>VLOOKUP(K217,[1]CódigosRetorno!$A$2:$B$1996,2,FALSE)</f>
        <v>El XML no contiene el tag o no existe informacion en el Numero de documento de identidad del conductor.</v>
      </c>
      <c r="M217" s="36" t="s">
        <v>67</v>
      </c>
      <c r="N217" s="5"/>
      <c r="O217" s="84"/>
    </row>
    <row r="218" spans="1:15" s="85" customFormat="1" ht="24" x14ac:dyDescent="0.25">
      <c r="A218" s="72"/>
      <c r="B218" s="296"/>
      <c r="C218" s="279"/>
      <c r="D218" s="296"/>
      <c r="E218" s="296"/>
      <c r="F218" s="296"/>
      <c r="G218" s="296"/>
      <c r="H218" s="344"/>
      <c r="I218" s="44" t="s">
        <v>1112</v>
      </c>
      <c r="J218" s="36" t="s">
        <v>65</v>
      </c>
      <c r="K218" s="41" t="s">
        <v>657</v>
      </c>
      <c r="L218" s="44" t="str">
        <f>VLOOKUP(K218,[1]CódigosRetorno!$A$2:$B$1996,2,FALSE)</f>
        <v>Documento identidad del conductor - El dato ingresado no cumple con el formato establecido.</v>
      </c>
      <c r="M218" s="36" t="s">
        <v>67</v>
      </c>
      <c r="N218" s="5"/>
      <c r="O218" s="84"/>
    </row>
    <row r="219" spans="1:15" s="85" customFormat="1" ht="36" x14ac:dyDescent="0.25">
      <c r="A219" s="72"/>
      <c r="B219" s="296"/>
      <c r="C219" s="279"/>
      <c r="D219" s="296"/>
      <c r="E219" s="296"/>
      <c r="F219" s="296"/>
      <c r="G219" s="296"/>
      <c r="H219" s="344"/>
      <c r="I219" s="44" t="s">
        <v>1113</v>
      </c>
      <c r="J219" s="36" t="s">
        <v>65</v>
      </c>
      <c r="K219" s="41" t="s">
        <v>659</v>
      </c>
      <c r="L219" s="44" t="str">
        <f>VLOOKUP(K219,[1]CódigosRetorno!$A$2:$B$1996,2,FALSE)</f>
        <v>El numero de DNI del conductor no existe</v>
      </c>
      <c r="M219" s="36" t="s">
        <v>85</v>
      </c>
      <c r="N219" s="5" t="s">
        <v>302</v>
      </c>
      <c r="O219" s="84"/>
    </row>
    <row r="220" spans="1:15" s="85" customFormat="1" ht="48" x14ac:dyDescent="0.25">
      <c r="A220" s="72"/>
      <c r="B220" s="297"/>
      <c r="C220" s="274"/>
      <c r="D220" s="297"/>
      <c r="E220" s="297"/>
      <c r="F220" s="297"/>
      <c r="G220" s="297"/>
      <c r="H220" s="345"/>
      <c r="I220" s="44" t="s">
        <v>1114</v>
      </c>
      <c r="J220" s="36" t="s">
        <v>65</v>
      </c>
      <c r="K220" s="41" t="s">
        <v>657</v>
      </c>
      <c r="L220" s="44" t="str">
        <f>VLOOKUP(K220,[1]CódigosRetorno!$A$2:$B$1996,2,FALSE)</f>
        <v>Documento identidad del conductor - El dato ingresado no cumple con el formato establecido.</v>
      </c>
      <c r="M220" s="36" t="s">
        <v>67</v>
      </c>
      <c r="N220" s="5"/>
      <c r="O220" s="84"/>
    </row>
    <row r="221" spans="1:15" s="85" customFormat="1" x14ac:dyDescent="0.25">
      <c r="A221" s="72"/>
      <c r="B221" s="295">
        <f>B212+1</f>
        <v>43</v>
      </c>
      <c r="C221" s="273" t="s">
        <v>661</v>
      </c>
      <c r="D221" s="295" t="s">
        <v>61</v>
      </c>
      <c r="E221" s="295" t="s">
        <v>5</v>
      </c>
      <c r="F221" s="295" t="s">
        <v>36</v>
      </c>
      <c r="G221" s="287"/>
      <c r="H221" s="343" t="s">
        <v>662</v>
      </c>
      <c r="I221" s="29" t="s">
        <v>1111</v>
      </c>
      <c r="J221" s="36" t="s">
        <v>65</v>
      </c>
      <c r="K221" s="41" t="s">
        <v>663</v>
      </c>
      <c r="L221" s="44" t="str">
        <f>VLOOKUP(K221,[1]CódigosRetorno!$A$2:$B$1996,2,FALSE)</f>
        <v>Debe consignar informacion de los nombres del conductor</v>
      </c>
      <c r="M221" s="36" t="s">
        <v>67</v>
      </c>
      <c r="N221" s="5"/>
      <c r="O221" s="84"/>
    </row>
    <row r="222" spans="1:15" s="85" customFormat="1" ht="60" x14ac:dyDescent="0.25">
      <c r="A222" s="72"/>
      <c r="B222" s="296"/>
      <c r="C222" s="279"/>
      <c r="D222" s="296"/>
      <c r="E222" s="296"/>
      <c r="F222" s="296"/>
      <c r="G222" s="288"/>
      <c r="H222" s="345"/>
      <c r="I222" s="44" t="s">
        <v>1115</v>
      </c>
      <c r="J222" s="36" t="s">
        <v>111</v>
      </c>
      <c r="K222" s="41" t="s">
        <v>666</v>
      </c>
      <c r="L222" s="44" t="str">
        <f>VLOOKUP(K222,[1]CódigosRetorno!$A$2:$B$1996,2,FALSE)</f>
        <v>Los nombres y/o apellidos del conductor no cumplen con el formato establecido</v>
      </c>
      <c r="M222" s="36" t="s">
        <v>67</v>
      </c>
      <c r="N222" s="5"/>
      <c r="O222" s="84"/>
    </row>
    <row r="223" spans="1:15" s="85" customFormat="1" x14ac:dyDescent="0.25">
      <c r="A223" s="72"/>
      <c r="B223" s="296"/>
      <c r="C223" s="279"/>
      <c r="D223" s="296"/>
      <c r="E223" s="296"/>
      <c r="F223" s="296"/>
      <c r="G223" s="288"/>
      <c r="H223" s="343" t="s">
        <v>667</v>
      </c>
      <c r="I223" s="29" t="s">
        <v>1111</v>
      </c>
      <c r="J223" s="36" t="s">
        <v>65</v>
      </c>
      <c r="K223" s="41" t="s">
        <v>668</v>
      </c>
      <c r="L223" s="44" t="str">
        <f>VLOOKUP(K223,[1]CódigosRetorno!$A$2:$B$1996,2,FALSE)</f>
        <v>Debe consignar informacion de los apellidos del conductor</v>
      </c>
      <c r="M223" s="36" t="s">
        <v>67</v>
      </c>
      <c r="N223" s="5"/>
      <c r="O223" s="84"/>
    </row>
    <row r="224" spans="1:15" s="85" customFormat="1" ht="60" x14ac:dyDescent="0.25">
      <c r="A224" s="72"/>
      <c r="B224" s="297"/>
      <c r="C224" s="274"/>
      <c r="D224" s="297"/>
      <c r="E224" s="297"/>
      <c r="F224" s="297"/>
      <c r="G224" s="291"/>
      <c r="H224" s="345"/>
      <c r="I224" s="44" t="s">
        <v>1115</v>
      </c>
      <c r="J224" s="36" t="s">
        <v>111</v>
      </c>
      <c r="K224" s="41" t="s">
        <v>666</v>
      </c>
      <c r="L224" s="44" t="str">
        <f>VLOOKUP(K224,[1]CódigosRetorno!$A$2:$B$1996,2,FALSE)</f>
        <v>Los nombres y/o apellidos del conductor no cumplen con el formato establecido</v>
      </c>
      <c r="M224" s="36" t="s">
        <v>67</v>
      </c>
      <c r="N224" s="5"/>
      <c r="O224" s="84"/>
    </row>
    <row r="225" spans="1:15" s="85" customFormat="1" ht="24" x14ac:dyDescent="0.25">
      <c r="A225" s="72"/>
      <c r="B225" s="295">
        <f>B221+1</f>
        <v>44</v>
      </c>
      <c r="C225" s="273" t="s">
        <v>670</v>
      </c>
      <c r="D225" s="295" t="s">
        <v>61</v>
      </c>
      <c r="E225" s="295" t="s">
        <v>5</v>
      </c>
      <c r="F225" s="295" t="s">
        <v>8</v>
      </c>
      <c r="G225" s="287"/>
      <c r="H225" s="343" t="s">
        <v>671</v>
      </c>
      <c r="I225" s="29" t="s">
        <v>1111</v>
      </c>
      <c r="J225" s="36" t="s">
        <v>65</v>
      </c>
      <c r="K225" s="41" t="s">
        <v>672</v>
      </c>
      <c r="L225" s="44" t="str">
        <f>VLOOKUP(K225,[1]CódigosRetorno!$A$2:$B$1996,2,FALSE)</f>
        <v>El XML no contiene el tag o no existe informacion del Numero de licencia del conductor.</v>
      </c>
      <c r="M225" s="36" t="s">
        <v>67</v>
      </c>
      <c r="N225" s="5"/>
      <c r="O225" s="84"/>
    </row>
    <row r="226" spans="1:15" s="85" customFormat="1" ht="36" x14ac:dyDescent="0.25">
      <c r="A226" s="72"/>
      <c r="B226" s="296"/>
      <c r="C226" s="279"/>
      <c r="D226" s="296"/>
      <c r="E226" s="296"/>
      <c r="F226" s="296"/>
      <c r="G226" s="288"/>
      <c r="H226" s="344"/>
      <c r="I226" s="44" t="s">
        <v>1116</v>
      </c>
      <c r="J226" s="36" t="s">
        <v>65</v>
      </c>
      <c r="K226" s="41" t="s">
        <v>674</v>
      </c>
      <c r="L226" s="44" t="str">
        <f>VLOOKUP(K226,[1]CódigosRetorno!$A$2:$B$1996,2,FALSE)</f>
        <v>Numero de licencia del conductor - El dato ingresado no cumple con el formato establecido.</v>
      </c>
      <c r="M226" s="36" t="s">
        <v>67</v>
      </c>
      <c r="N226" s="5"/>
      <c r="O226" s="84"/>
    </row>
    <row r="227" spans="1:15" s="85" customFormat="1" ht="36" x14ac:dyDescent="0.25">
      <c r="A227" s="72"/>
      <c r="B227" s="297"/>
      <c r="C227" s="274"/>
      <c r="D227" s="297"/>
      <c r="E227" s="297"/>
      <c r="F227" s="297"/>
      <c r="G227" s="291"/>
      <c r="H227" s="345"/>
      <c r="I227" s="29" t="s">
        <v>572</v>
      </c>
      <c r="J227" s="36" t="s">
        <v>111</v>
      </c>
      <c r="K227" s="3" t="s">
        <v>676</v>
      </c>
      <c r="L227" s="44" t="str">
        <f>VLOOKUP(K227,[1]CódigosRetorno!$A$2:$B$1996,2,FALSE)</f>
        <v>El Numero de licencia de conducir no se encuentra en las bases consultadas</v>
      </c>
      <c r="M227" s="36" t="s">
        <v>85</v>
      </c>
      <c r="N227" s="5" t="s">
        <v>677</v>
      </c>
      <c r="O227" s="84"/>
    </row>
    <row r="228" spans="1:15" s="85" customFormat="1" x14ac:dyDescent="0.25">
      <c r="A228" s="72"/>
      <c r="B228" s="92" t="s">
        <v>1117</v>
      </c>
      <c r="C228" s="93"/>
      <c r="D228" s="94"/>
      <c r="E228" s="95"/>
      <c r="F228" s="96"/>
      <c r="G228" s="97"/>
      <c r="H228" s="93"/>
      <c r="I228" s="93"/>
      <c r="J228" s="94"/>
      <c r="K228" s="98"/>
      <c r="L228" s="93"/>
      <c r="M228" s="94"/>
      <c r="N228" s="99"/>
      <c r="O228" s="84"/>
    </row>
    <row r="229" spans="1:15" s="85" customFormat="1" ht="24" x14ac:dyDescent="0.25">
      <c r="A229" s="72"/>
      <c r="B229" s="295">
        <f>B225+1</f>
        <v>45</v>
      </c>
      <c r="C229" s="273" t="s">
        <v>631</v>
      </c>
      <c r="D229" s="295" t="s">
        <v>61</v>
      </c>
      <c r="E229" s="295" t="s">
        <v>15</v>
      </c>
      <c r="F229" s="295" t="s">
        <v>16</v>
      </c>
      <c r="G229" s="295" t="s">
        <v>679</v>
      </c>
      <c r="H229" s="343" t="s">
        <v>634</v>
      </c>
      <c r="I229" s="29" t="s">
        <v>1118</v>
      </c>
      <c r="J229" s="36" t="s">
        <v>111</v>
      </c>
      <c r="K229" s="41" t="s">
        <v>1119</v>
      </c>
      <c r="L229" s="44" t="str">
        <f>VLOOKUP(K229,[1]CódigosRetorno!$A$2:$B$1996,2,FALSE)</f>
        <v>Solo debe consignar informacion de hasta dos conductores secundarios</v>
      </c>
      <c r="M229" s="36" t="s">
        <v>67</v>
      </c>
      <c r="N229" s="5"/>
      <c r="O229" s="84"/>
    </row>
    <row r="230" spans="1:15" s="85" customFormat="1" ht="36" x14ac:dyDescent="0.25">
      <c r="A230" s="72"/>
      <c r="B230" s="296"/>
      <c r="C230" s="279"/>
      <c r="D230" s="296"/>
      <c r="E230" s="296"/>
      <c r="F230" s="296"/>
      <c r="G230" s="296"/>
      <c r="H230" s="344"/>
      <c r="I230" s="29" t="s">
        <v>1120</v>
      </c>
      <c r="J230" s="36" t="s">
        <v>65</v>
      </c>
      <c r="K230" s="41" t="s">
        <v>681</v>
      </c>
      <c r="L230" s="44" t="str">
        <f>VLOOKUP(K230,[1]CódigosRetorno!$A$2:$B$1996,2,FALSE)</f>
        <v>No debe repetirse la informacion de conductores</v>
      </c>
      <c r="M230" s="36" t="s">
        <v>67</v>
      </c>
      <c r="N230" s="5"/>
      <c r="O230" s="84"/>
    </row>
    <row r="231" spans="1:15" s="85" customFormat="1" ht="36" x14ac:dyDescent="0.25">
      <c r="A231" s="72"/>
      <c r="B231" s="295">
        <f>B229+1</f>
        <v>46</v>
      </c>
      <c r="C231" s="273" t="s">
        <v>640</v>
      </c>
      <c r="D231" s="295" t="s">
        <v>61</v>
      </c>
      <c r="E231" s="295" t="s">
        <v>15</v>
      </c>
      <c r="F231" s="295" t="s">
        <v>17</v>
      </c>
      <c r="G231" s="287" t="s">
        <v>273</v>
      </c>
      <c r="H231" s="343" t="s">
        <v>641</v>
      </c>
      <c r="I231" s="29" t="s">
        <v>1121</v>
      </c>
      <c r="J231" s="36" t="s">
        <v>65</v>
      </c>
      <c r="K231" s="41" t="s">
        <v>643</v>
      </c>
      <c r="L231" s="44" t="str">
        <f>VLOOKUP(K231,[1]CódigosRetorno!$A$2:$B$1996,2,FALSE)</f>
        <v>El XML no contiene el tag o no existe informacion del tipo de documento identidad del conductor.</v>
      </c>
      <c r="M231" s="36" t="s">
        <v>67</v>
      </c>
      <c r="N231" s="5"/>
      <c r="O231" s="84"/>
    </row>
    <row r="232" spans="1:15" s="85" customFormat="1" ht="24" x14ac:dyDescent="0.25">
      <c r="A232" s="72"/>
      <c r="B232" s="296"/>
      <c r="C232" s="279"/>
      <c r="D232" s="296"/>
      <c r="E232" s="296"/>
      <c r="F232" s="297"/>
      <c r="G232" s="291"/>
      <c r="H232" s="345"/>
      <c r="I232" s="29" t="s">
        <v>1122</v>
      </c>
      <c r="J232" s="36" t="s">
        <v>65</v>
      </c>
      <c r="K232" s="41" t="s">
        <v>649</v>
      </c>
      <c r="L232" s="44" t="str">
        <f>VLOOKUP(K232,[1]CódigosRetorno!$A$2:$B$1996,2,FALSE)</f>
        <v>cac:DriverPerson/ID@schemeID - El valor ingresado de tipo de documento identidad de conductor es incorrecto.</v>
      </c>
      <c r="M232" s="36" t="s">
        <v>67</v>
      </c>
      <c r="N232" s="5" t="s">
        <v>279</v>
      </c>
      <c r="O232" s="84"/>
    </row>
    <row r="233" spans="1:15" s="85" customFormat="1" ht="24" x14ac:dyDescent="0.25">
      <c r="A233" s="72"/>
      <c r="B233" s="296"/>
      <c r="C233" s="279"/>
      <c r="D233" s="296"/>
      <c r="E233" s="296"/>
      <c r="F233" s="295"/>
      <c r="G233" s="5" t="s">
        <v>133</v>
      </c>
      <c r="H233" s="29" t="s">
        <v>134</v>
      </c>
      <c r="I233" s="29" t="s">
        <v>135</v>
      </c>
      <c r="J233" s="36" t="s">
        <v>111</v>
      </c>
      <c r="K233" s="41" t="s">
        <v>136</v>
      </c>
      <c r="L233" s="44" t="str">
        <f>VLOOKUP(K233,[1]CódigosRetorno!$A$2:$B$1996,2,FALSE)</f>
        <v>El dato ingresado como atributo @schemeName es incorrecto.</v>
      </c>
      <c r="M233" s="36" t="s">
        <v>67</v>
      </c>
      <c r="N233" s="5"/>
      <c r="O233" s="84"/>
    </row>
    <row r="234" spans="1:15" s="85" customFormat="1" x14ac:dyDescent="0.25">
      <c r="A234" s="72"/>
      <c r="B234" s="296"/>
      <c r="C234" s="279"/>
      <c r="D234" s="296"/>
      <c r="E234" s="296"/>
      <c r="F234" s="296"/>
      <c r="G234" s="5" t="s">
        <v>108</v>
      </c>
      <c r="H234" s="29" t="s">
        <v>137</v>
      </c>
      <c r="I234" s="29" t="s">
        <v>110</v>
      </c>
      <c r="J234" s="36" t="s">
        <v>111</v>
      </c>
      <c r="K234" s="41" t="s">
        <v>138</v>
      </c>
      <c r="L234" s="44" t="str">
        <f>VLOOKUP(K234,[1]CódigosRetorno!$A$2:$B$1996,2,FALSE)</f>
        <v>El dato ingresado como atributo @schemeAgencyName es incorrecto.</v>
      </c>
      <c r="M234" s="36" t="s">
        <v>67</v>
      </c>
      <c r="N234" s="5"/>
      <c r="O234" s="84"/>
    </row>
    <row r="235" spans="1:15" s="85" customFormat="1" ht="36" x14ac:dyDescent="0.25">
      <c r="A235" s="72"/>
      <c r="B235" s="296"/>
      <c r="C235" s="279"/>
      <c r="D235" s="296"/>
      <c r="E235" s="296"/>
      <c r="F235" s="297"/>
      <c r="G235" s="5" t="s">
        <v>139</v>
      </c>
      <c r="H235" s="29" t="s">
        <v>140</v>
      </c>
      <c r="I235" s="29" t="s">
        <v>141</v>
      </c>
      <c r="J235" s="36" t="s">
        <v>111</v>
      </c>
      <c r="K235" s="41" t="s">
        <v>142</v>
      </c>
      <c r="L235" s="44" t="str">
        <f>VLOOKUP(K235,[1]CódigosRetorno!$A$2:$B$1996,2,FALSE)</f>
        <v>El dato ingresado como atributo @schemeURI es incorrecto.</v>
      </c>
      <c r="M235" s="36" t="s">
        <v>67</v>
      </c>
      <c r="N235" s="5"/>
      <c r="O235" s="84"/>
    </row>
    <row r="236" spans="1:15" s="85" customFormat="1" ht="36" x14ac:dyDescent="0.25">
      <c r="A236" s="72"/>
      <c r="B236" s="296"/>
      <c r="C236" s="279"/>
      <c r="D236" s="296"/>
      <c r="E236" s="296"/>
      <c r="F236" s="295" t="s">
        <v>18</v>
      </c>
      <c r="G236" s="295"/>
      <c r="H236" s="343" t="s">
        <v>650</v>
      </c>
      <c r="I236" s="29" t="s">
        <v>1123</v>
      </c>
      <c r="J236" s="36" t="s">
        <v>65</v>
      </c>
      <c r="K236" s="41" t="s">
        <v>652</v>
      </c>
      <c r="L236" s="44" t="str">
        <f>VLOOKUP(K236,[1]CódigosRetorno!$A$2:$B$1996,2,FALSE)</f>
        <v>El XML no contiene el tag o no existe informacion en el Numero de documento de identidad del conductor.</v>
      </c>
      <c r="M236" s="36" t="s">
        <v>67</v>
      </c>
      <c r="N236" s="5"/>
      <c r="O236" s="84"/>
    </row>
    <row r="237" spans="1:15" s="85" customFormat="1" ht="36" x14ac:dyDescent="0.25">
      <c r="A237" s="72"/>
      <c r="B237" s="296"/>
      <c r="C237" s="279"/>
      <c r="D237" s="296"/>
      <c r="E237" s="296"/>
      <c r="F237" s="296"/>
      <c r="G237" s="296"/>
      <c r="H237" s="344"/>
      <c r="I237" s="29" t="s">
        <v>1124</v>
      </c>
      <c r="J237" s="36" t="s">
        <v>65</v>
      </c>
      <c r="K237" s="41" t="s">
        <v>652</v>
      </c>
      <c r="L237" s="44" t="str">
        <f>VLOOKUP(K237,[1]CódigosRetorno!$A$2:$B$1996,2,FALSE)</f>
        <v>El XML no contiene el tag o no existe informacion en el Numero de documento de identidad del conductor.</v>
      </c>
      <c r="M237" s="36" t="s">
        <v>67</v>
      </c>
      <c r="N237" s="5"/>
      <c r="O237" s="84"/>
    </row>
    <row r="238" spans="1:15" s="85" customFormat="1" ht="24" x14ac:dyDescent="0.25">
      <c r="A238" s="72"/>
      <c r="B238" s="296"/>
      <c r="C238" s="279"/>
      <c r="D238" s="296"/>
      <c r="E238" s="296"/>
      <c r="F238" s="296"/>
      <c r="G238" s="296"/>
      <c r="H238" s="344"/>
      <c r="I238" s="44" t="s">
        <v>1112</v>
      </c>
      <c r="J238" s="36" t="s">
        <v>65</v>
      </c>
      <c r="K238" s="41" t="s">
        <v>657</v>
      </c>
      <c r="L238" s="44" t="str">
        <f>VLOOKUP(K238,[1]CódigosRetorno!$A$2:$B$1996,2,FALSE)</f>
        <v>Documento identidad del conductor - El dato ingresado no cumple con el formato establecido.</v>
      </c>
      <c r="M238" s="36" t="s">
        <v>67</v>
      </c>
      <c r="N238" s="5"/>
      <c r="O238" s="84"/>
    </row>
    <row r="239" spans="1:15" s="85" customFormat="1" ht="36" x14ac:dyDescent="0.25">
      <c r="A239" s="72"/>
      <c r="B239" s="296"/>
      <c r="C239" s="279"/>
      <c r="D239" s="296"/>
      <c r="E239" s="296"/>
      <c r="F239" s="296"/>
      <c r="G239" s="296"/>
      <c r="H239" s="344"/>
      <c r="I239" s="44" t="s">
        <v>1113</v>
      </c>
      <c r="J239" s="36" t="s">
        <v>65</v>
      </c>
      <c r="K239" s="41" t="s">
        <v>659</v>
      </c>
      <c r="L239" s="44" t="str">
        <f>VLOOKUP(K239,[1]CódigosRetorno!$A$2:$B$1996,2,FALSE)</f>
        <v>El numero de DNI del conductor no existe</v>
      </c>
      <c r="M239" s="36" t="s">
        <v>85</v>
      </c>
      <c r="N239" s="5" t="s">
        <v>302</v>
      </c>
      <c r="O239" s="84"/>
    </row>
    <row r="240" spans="1:15" s="85" customFormat="1" ht="48" x14ac:dyDescent="0.25">
      <c r="A240" s="72"/>
      <c r="B240" s="297"/>
      <c r="C240" s="274"/>
      <c r="D240" s="297"/>
      <c r="E240" s="297"/>
      <c r="F240" s="297"/>
      <c r="G240" s="297"/>
      <c r="H240" s="345"/>
      <c r="I240" s="29" t="s">
        <v>1125</v>
      </c>
      <c r="J240" s="36" t="s">
        <v>65</v>
      </c>
      <c r="K240" s="41" t="s">
        <v>657</v>
      </c>
      <c r="L240" s="44" t="str">
        <f>VLOOKUP(K240,[1]CódigosRetorno!$A$2:$B$1996,2,FALSE)</f>
        <v>Documento identidad del conductor - El dato ingresado no cumple con el formato establecido.</v>
      </c>
      <c r="M240" s="36" t="s">
        <v>67</v>
      </c>
      <c r="N240" s="5"/>
      <c r="O240" s="84"/>
    </row>
    <row r="241" spans="1:15" s="85" customFormat="1" ht="36" x14ac:dyDescent="0.25">
      <c r="A241" s="72"/>
      <c r="B241" s="295">
        <f>B231+1</f>
        <v>47</v>
      </c>
      <c r="C241" s="273" t="s">
        <v>661</v>
      </c>
      <c r="D241" s="295" t="s">
        <v>61</v>
      </c>
      <c r="E241" s="295" t="s">
        <v>15</v>
      </c>
      <c r="F241" s="287" t="s">
        <v>36</v>
      </c>
      <c r="G241" s="287"/>
      <c r="H241" s="343" t="s">
        <v>662</v>
      </c>
      <c r="I241" s="29" t="s">
        <v>1124</v>
      </c>
      <c r="J241" s="36" t="s">
        <v>65</v>
      </c>
      <c r="K241" s="41" t="s">
        <v>663</v>
      </c>
      <c r="L241" s="44" t="str">
        <f>VLOOKUP(K241,[1]CódigosRetorno!$A$2:$B$1996,2,FALSE)</f>
        <v>Debe consignar informacion de los nombres del conductor</v>
      </c>
      <c r="M241" s="36" t="s">
        <v>67</v>
      </c>
      <c r="N241" s="5"/>
      <c r="O241" s="84"/>
    </row>
    <row r="242" spans="1:15" s="85" customFormat="1" ht="60" x14ac:dyDescent="0.25">
      <c r="A242" s="72"/>
      <c r="B242" s="296"/>
      <c r="C242" s="279"/>
      <c r="D242" s="296"/>
      <c r="E242" s="296"/>
      <c r="F242" s="291"/>
      <c r="G242" s="291"/>
      <c r="H242" s="345"/>
      <c r="I242" s="44" t="s">
        <v>1115</v>
      </c>
      <c r="J242" s="36" t="s">
        <v>111</v>
      </c>
      <c r="K242" s="41" t="s">
        <v>666</v>
      </c>
      <c r="L242" s="44" t="str">
        <f>VLOOKUP(K242,[1]CódigosRetorno!$A$2:$B$1996,2,FALSE)</f>
        <v>Los nombres y/o apellidos del conductor no cumplen con el formato establecido</v>
      </c>
      <c r="M242" s="36" t="s">
        <v>67</v>
      </c>
      <c r="N242" s="5"/>
      <c r="O242" s="84"/>
    </row>
    <row r="243" spans="1:15" s="85" customFormat="1" ht="36" x14ac:dyDescent="0.25">
      <c r="A243" s="72"/>
      <c r="B243" s="296"/>
      <c r="C243" s="279"/>
      <c r="D243" s="296"/>
      <c r="E243" s="296"/>
      <c r="F243" s="287" t="s">
        <v>36</v>
      </c>
      <c r="G243" s="287"/>
      <c r="H243" s="343" t="s">
        <v>667</v>
      </c>
      <c r="I243" s="29" t="s">
        <v>1124</v>
      </c>
      <c r="J243" s="36" t="s">
        <v>65</v>
      </c>
      <c r="K243" s="41" t="s">
        <v>668</v>
      </c>
      <c r="L243" s="44" t="str">
        <f>VLOOKUP(K243,[1]CódigosRetorno!$A$2:$B$1996,2,FALSE)</f>
        <v>Debe consignar informacion de los apellidos del conductor</v>
      </c>
      <c r="M243" s="36" t="s">
        <v>67</v>
      </c>
      <c r="N243" s="5"/>
      <c r="O243" s="84"/>
    </row>
    <row r="244" spans="1:15" s="85" customFormat="1" ht="60" x14ac:dyDescent="0.25">
      <c r="A244" s="72"/>
      <c r="B244" s="297"/>
      <c r="C244" s="274"/>
      <c r="D244" s="297"/>
      <c r="E244" s="297"/>
      <c r="F244" s="291"/>
      <c r="G244" s="291"/>
      <c r="H244" s="345"/>
      <c r="I244" s="44" t="s">
        <v>1115</v>
      </c>
      <c r="J244" s="36" t="s">
        <v>111</v>
      </c>
      <c r="K244" s="41" t="s">
        <v>666</v>
      </c>
      <c r="L244" s="44" t="str">
        <f>VLOOKUP(K244,[1]CódigosRetorno!$A$2:$B$1996,2,FALSE)</f>
        <v>Los nombres y/o apellidos del conductor no cumplen con el formato establecido</v>
      </c>
      <c r="M244" s="36" t="s">
        <v>67</v>
      </c>
      <c r="N244" s="5"/>
      <c r="O244" s="84"/>
    </row>
    <row r="245" spans="1:15" s="85" customFormat="1" ht="36" x14ac:dyDescent="0.25">
      <c r="A245" s="72"/>
      <c r="B245" s="295">
        <f>B241+1</f>
        <v>48</v>
      </c>
      <c r="C245" s="273" t="s">
        <v>670</v>
      </c>
      <c r="D245" s="295" t="s">
        <v>61</v>
      </c>
      <c r="E245" s="295" t="s">
        <v>15</v>
      </c>
      <c r="F245" s="287" t="s">
        <v>8</v>
      </c>
      <c r="G245" s="287"/>
      <c r="H245" s="343" t="s">
        <v>671</v>
      </c>
      <c r="I245" s="29" t="s">
        <v>1126</v>
      </c>
      <c r="J245" s="36" t="s">
        <v>65</v>
      </c>
      <c r="K245" s="41" t="s">
        <v>672</v>
      </c>
      <c r="L245" s="44" t="str">
        <f>VLOOKUP(K245,[1]CódigosRetorno!$A$2:$B$1996,2,FALSE)</f>
        <v>El XML no contiene el tag o no existe informacion del Numero de licencia del conductor.</v>
      </c>
      <c r="M245" s="36" t="s">
        <v>67</v>
      </c>
      <c r="N245" s="5"/>
      <c r="O245" s="84"/>
    </row>
    <row r="246" spans="1:15" s="85" customFormat="1" ht="36" x14ac:dyDescent="0.25">
      <c r="A246" s="72"/>
      <c r="B246" s="296"/>
      <c r="C246" s="279"/>
      <c r="D246" s="296"/>
      <c r="E246" s="296"/>
      <c r="F246" s="288"/>
      <c r="G246" s="288"/>
      <c r="H246" s="344"/>
      <c r="I246" s="44" t="s">
        <v>1127</v>
      </c>
      <c r="J246" s="36" t="s">
        <v>65</v>
      </c>
      <c r="K246" s="41" t="s">
        <v>674</v>
      </c>
      <c r="L246" s="44" t="str">
        <f>VLOOKUP(K246,[1]CódigosRetorno!$A$2:$B$1996,2,FALSE)</f>
        <v>Numero de licencia del conductor - El dato ingresado no cumple con el formato establecido.</v>
      </c>
      <c r="M246" s="36" t="s">
        <v>67</v>
      </c>
      <c r="N246" s="5"/>
      <c r="O246" s="84"/>
    </row>
    <row r="247" spans="1:15" s="85" customFormat="1" ht="36" x14ac:dyDescent="0.25">
      <c r="A247" s="72"/>
      <c r="B247" s="297"/>
      <c r="C247" s="274"/>
      <c r="D247" s="297"/>
      <c r="E247" s="297"/>
      <c r="F247" s="291"/>
      <c r="G247" s="291"/>
      <c r="H247" s="345"/>
      <c r="I247" s="29" t="s">
        <v>572</v>
      </c>
      <c r="J247" s="36" t="s">
        <v>111</v>
      </c>
      <c r="K247" s="41" t="s">
        <v>676</v>
      </c>
      <c r="L247" s="44" t="str">
        <f>VLOOKUP(K247,[1]CódigosRetorno!$A$2:$B$1996,2,FALSE)</f>
        <v>El Numero de licencia de conducir no se encuentra en las bases consultadas</v>
      </c>
      <c r="M247" s="36" t="s">
        <v>85</v>
      </c>
      <c r="N247" s="5" t="s">
        <v>677</v>
      </c>
      <c r="O247" s="84"/>
    </row>
    <row r="248" spans="1:15" x14ac:dyDescent="0.25">
      <c r="B248" s="92" t="s">
        <v>1128</v>
      </c>
      <c r="C248" s="93"/>
      <c r="D248" s="94"/>
      <c r="E248" s="95"/>
      <c r="F248" s="96"/>
      <c r="G248" s="97"/>
      <c r="H248" s="93"/>
      <c r="I248" s="93"/>
      <c r="J248" s="94"/>
      <c r="K248" s="98"/>
      <c r="L248" s="93"/>
      <c r="M248" s="94"/>
      <c r="N248" s="99"/>
      <c r="O248" s="81"/>
    </row>
    <row r="249" spans="1:15" x14ac:dyDescent="0.25">
      <c r="B249" s="36">
        <f>B245+1</f>
        <v>49</v>
      </c>
      <c r="C249" s="29" t="s">
        <v>388</v>
      </c>
      <c r="D249" s="61" t="s">
        <v>61</v>
      </c>
      <c r="E249" s="36" t="s">
        <v>5</v>
      </c>
      <c r="F249" s="5" t="s">
        <v>143</v>
      </c>
      <c r="G249" s="5" t="s">
        <v>389</v>
      </c>
      <c r="H249" s="29" t="s">
        <v>390</v>
      </c>
      <c r="I249" s="29" t="s">
        <v>391</v>
      </c>
      <c r="J249" s="61" t="s">
        <v>58</v>
      </c>
      <c r="K249" s="110" t="s">
        <v>58</v>
      </c>
      <c r="L249" s="44" t="str">
        <f>VLOOKUP(K249,[1]CódigosRetorno!$A$2:$B$1996,2,FALSE)</f>
        <v>-</v>
      </c>
      <c r="M249" s="61"/>
      <c r="N249" s="5"/>
      <c r="O249" s="81"/>
    </row>
    <row r="250" spans="1:15" ht="24" x14ac:dyDescent="0.25">
      <c r="B250" s="295">
        <f>B249+1</f>
        <v>50</v>
      </c>
      <c r="C250" s="273" t="s">
        <v>480</v>
      </c>
      <c r="D250" s="295" t="s">
        <v>61</v>
      </c>
      <c r="E250" s="311" t="s">
        <v>5</v>
      </c>
      <c r="F250" s="271" t="s">
        <v>8</v>
      </c>
      <c r="G250" s="271" t="s">
        <v>9</v>
      </c>
      <c r="H250" s="273" t="s">
        <v>481</v>
      </c>
      <c r="I250" s="29" t="s">
        <v>99</v>
      </c>
      <c r="J250" s="36" t="s">
        <v>65</v>
      </c>
      <c r="K250" s="41" t="s">
        <v>483</v>
      </c>
      <c r="L250" s="44" t="str">
        <f>VLOOKUP(K250,[1]CódigosRetorno!$A$2:$B$1996,2,FALSE)</f>
        <v>El XML no contiene el tag o no existe informacion de la fecha de inicio de traslado o fecha de entrega del bien al Transportista</v>
      </c>
      <c r="M250" s="36" t="s">
        <v>67</v>
      </c>
      <c r="N250" s="5"/>
      <c r="O250" s="81"/>
    </row>
    <row r="251" spans="1:15" ht="24" x14ac:dyDescent="0.25">
      <c r="B251" s="296"/>
      <c r="C251" s="279"/>
      <c r="D251" s="296"/>
      <c r="E251" s="312"/>
      <c r="F251" s="285"/>
      <c r="G251" s="285"/>
      <c r="H251" s="279"/>
      <c r="I251" s="29" t="s">
        <v>1129</v>
      </c>
      <c r="J251" s="36" t="s">
        <v>65</v>
      </c>
      <c r="K251" s="41" t="s">
        <v>487</v>
      </c>
      <c r="L251" s="44" t="str">
        <f>VLOOKUP(K251,[1]CódigosRetorno!$A$2:$B$1996,2,FALSE)</f>
        <v>La Fecha de inicio del traslado debe ser mayor o igual a la Fecha de emision del documento</v>
      </c>
      <c r="M251" s="36" t="s">
        <v>67</v>
      </c>
      <c r="N251" s="5"/>
      <c r="O251" s="81"/>
    </row>
    <row r="252" spans="1:15" ht="24" x14ac:dyDescent="0.25">
      <c r="B252" s="297"/>
      <c r="C252" s="274"/>
      <c r="D252" s="297"/>
      <c r="E252" s="314"/>
      <c r="F252" s="272"/>
      <c r="G252" s="272"/>
      <c r="H252" s="274"/>
      <c r="I252" s="29" t="s">
        <v>1130</v>
      </c>
      <c r="J252" s="36" t="s">
        <v>65</v>
      </c>
      <c r="K252" s="41" t="s">
        <v>491</v>
      </c>
      <c r="L252" s="44" t="str">
        <f>VLOOKUP(K252,[1]CódigosRetorno!$A$2:$B$1996,2,FALSE)</f>
        <v>El valor ingresado  como fecha de inicio o fecha de entrega al Transportista no cumple con el estandar (YYYY-MM-DD)</v>
      </c>
      <c r="M252" s="36" t="s">
        <v>67</v>
      </c>
      <c r="N252" s="5"/>
      <c r="O252" s="81"/>
    </row>
    <row r="253" spans="1:15" x14ac:dyDescent="0.25">
      <c r="B253" s="295">
        <f>+B250+1</f>
        <v>51</v>
      </c>
      <c r="C253" s="265" t="s">
        <v>1131</v>
      </c>
      <c r="D253" s="295" t="s">
        <v>61</v>
      </c>
      <c r="E253" s="311" t="s">
        <v>15</v>
      </c>
      <c r="F253" s="287" t="s">
        <v>32</v>
      </c>
      <c r="G253" s="287" t="s">
        <v>1132</v>
      </c>
      <c r="H253" s="64" t="s">
        <v>832</v>
      </c>
      <c r="I253" s="29" t="s">
        <v>391</v>
      </c>
      <c r="J253" s="36"/>
      <c r="K253" s="41" t="s">
        <v>58</v>
      </c>
      <c r="L253" s="44" t="str">
        <f>VLOOKUP(K253,[1]CódigosRetorno!$A$2:$B$1996,2,FALSE)</f>
        <v>-</v>
      </c>
      <c r="M253" s="36"/>
      <c r="N253" s="5"/>
      <c r="O253" s="81"/>
    </row>
    <row r="254" spans="1:15" ht="24" x14ac:dyDescent="0.25">
      <c r="B254" s="296"/>
      <c r="C254" s="265"/>
      <c r="D254" s="296"/>
      <c r="E254" s="312"/>
      <c r="F254" s="291"/>
      <c r="G254" s="291"/>
      <c r="H254" s="29" t="s">
        <v>837</v>
      </c>
      <c r="I254" s="29" t="s">
        <v>391</v>
      </c>
      <c r="J254" s="36" t="s">
        <v>58</v>
      </c>
      <c r="K254" s="41" t="s">
        <v>58</v>
      </c>
      <c r="L254" s="44" t="str">
        <f>VLOOKUP(K254,[1]CódigosRetorno!$A$2:$B$1996,2,FALSE)</f>
        <v>-</v>
      </c>
      <c r="M254" s="36"/>
      <c r="N254" s="5"/>
      <c r="O254" s="81"/>
    </row>
    <row r="255" spans="1:15" ht="72" x14ac:dyDescent="0.25">
      <c r="B255" s="296"/>
      <c r="C255" s="265"/>
      <c r="D255" s="296"/>
      <c r="E255" s="312"/>
      <c r="F255" s="271" t="s">
        <v>26</v>
      </c>
      <c r="G255" s="287"/>
      <c r="H255" s="273" t="s">
        <v>867</v>
      </c>
      <c r="I255" s="29" t="s">
        <v>1133</v>
      </c>
      <c r="J255" s="36" t="s">
        <v>111</v>
      </c>
      <c r="K255" s="41" t="s">
        <v>1134</v>
      </c>
      <c r="L255" s="44" t="str">
        <f>VLOOKUP(K255,[1]CódigosRetorno!$A$2:$B$1996,2,FALSE)</f>
        <v>La anotacion opcional sobre los bienes a transportar no existe o no contiene informacion</v>
      </c>
      <c r="M255" s="36" t="s">
        <v>67</v>
      </c>
      <c r="N255" s="5"/>
      <c r="O255" s="81"/>
    </row>
    <row r="256" spans="1:15" ht="89.45" customHeight="1" x14ac:dyDescent="0.25">
      <c r="B256" s="296"/>
      <c r="C256" s="265"/>
      <c r="D256" s="296"/>
      <c r="E256" s="312"/>
      <c r="F256" s="285"/>
      <c r="G256" s="288"/>
      <c r="H256" s="279"/>
      <c r="I256" s="29" t="s">
        <v>1135</v>
      </c>
      <c r="J256" s="36" t="s">
        <v>111</v>
      </c>
      <c r="K256" s="41" t="s">
        <v>1134</v>
      </c>
      <c r="L256" s="44" t="str">
        <f>VLOOKUP(K256,[1]CódigosRetorno!$A$2:$B$1996,2,FALSE)</f>
        <v>La anotacion opcional sobre los bienes a transportar no existe o no contiene informacion</v>
      </c>
      <c r="M256" s="36" t="s">
        <v>67</v>
      </c>
      <c r="N256" s="5"/>
      <c r="O256" s="81"/>
    </row>
    <row r="257" spans="2:15" ht="48" x14ac:dyDescent="0.25">
      <c r="B257" s="297"/>
      <c r="C257" s="265"/>
      <c r="D257" s="297"/>
      <c r="E257" s="314"/>
      <c r="F257" s="272"/>
      <c r="G257" s="291"/>
      <c r="H257" s="274"/>
      <c r="I257" s="29" t="s">
        <v>1136</v>
      </c>
      <c r="J257" s="36" t="s">
        <v>111</v>
      </c>
      <c r="K257" s="41" t="s">
        <v>1137</v>
      </c>
      <c r="L257" s="44" t="str">
        <f>VLOOKUP(K257,[1]CódigosRetorno!$A$2:$B$1996,2,FALSE)</f>
        <v>La anotacion opcional sobre los bienes a transportar no cumple con el formato establecido</v>
      </c>
      <c r="M257" s="36" t="s">
        <v>67</v>
      </c>
      <c r="N257" s="5"/>
      <c r="O257" s="81"/>
    </row>
    <row r="258" spans="2:15" ht="12" customHeight="1" x14ac:dyDescent="0.25">
      <c r="B258" s="295">
        <f>B253+1</f>
        <v>52</v>
      </c>
      <c r="C258" s="273" t="s">
        <v>433</v>
      </c>
      <c r="D258" s="295" t="s">
        <v>61</v>
      </c>
      <c r="E258" s="311" t="s">
        <v>5</v>
      </c>
      <c r="F258" s="271" t="s">
        <v>413</v>
      </c>
      <c r="G258" s="271" t="s">
        <v>414</v>
      </c>
      <c r="H258" s="273" t="s">
        <v>434</v>
      </c>
      <c r="I258" s="29" t="s">
        <v>99</v>
      </c>
      <c r="J258" s="36" t="s">
        <v>65</v>
      </c>
      <c r="K258" s="41" t="s">
        <v>435</v>
      </c>
      <c r="L258" s="44" t="str">
        <f>VLOOKUP(K258,[1]CódigosRetorno!$A$2:$B$1996,2,FALSE)</f>
        <v>Es obligatorio ingresar el peso bruto total de la guía</v>
      </c>
      <c r="M258" s="36" t="s">
        <v>67</v>
      </c>
      <c r="N258" s="5"/>
      <c r="O258" s="81"/>
    </row>
    <row r="259" spans="2:15" ht="24" x14ac:dyDescent="0.25">
      <c r="B259" s="296"/>
      <c r="C259" s="279"/>
      <c r="D259" s="296"/>
      <c r="E259" s="312"/>
      <c r="F259" s="272"/>
      <c r="G259" s="272"/>
      <c r="H259" s="274"/>
      <c r="I259" s="29" t="s">
        <v>420</v>
      </c>
      <c r="J259" s="36" t="s">
        <v>65</v>
      </c>
      <c r="K259" s="41" t="s">
        <v>436</v>
      </c>
      <c r="L259" s="44" t="str">
        <f>VLOOKUP(K259,[1]CódigosRetorno!$A$2:$B$1996,2,FALSE)</f>
        <v>GrossWeightMeasure - El dato ingresado no cumple con el formato establecido.</v>
      </c>
      <c r="M259" s="36" t="s">
        <v>67</v>
      </c>
      <c r="N259" s="5"/>
      <c r="O259" s="81"/>
    </row>
    <row r="260" spans="2:15" x14ac:dyDescent="0.25">
      <c r="B260" s="296"/>
      <c r="C260" s="279"/>
      <c r="D260" s="296"/>
      <c r="E260" s="312"/>
      <c r="F260" s="269" t="s">
        <v>19</v>
      </c>
      <c r="G260" s="269" t="s">
        <v>1138</v>
      </c>
      <c r="H260" s="273" t="s">
        <v>438</v>
      </c>
      <c r="I260" s="29" t="s">
        <v>439</v>
      </c>
      <c r="J260" s="36" t="s">
        <v>65</v>
      </c>
      <c r="K260" s="41" t="s">
        <v>440</v>
      </c>
      <c r="L260" s="44" t="str">
        <f>VLOOKUP(K260,[1]CódigosRetorno!$A$2:$B$1996,2,FALSE)</f>
        <v>Es obligatorio indicar la unidad de medida del Peso Total de la guía</v>
      </c>
      <c r="M260" s="36" t="s">
        <v>67</v>
      </c>
      <c r="N260" s="5"/>
      <c r="O260" s="81"/>
    </row>
    <row r="261" spans="2:15" ht="24" x14ac:dyDescent="0.25">
      <c r="B261" s="297"/>
      <c r="C261" s="274"/>
      <c r="D261" s="297"/>
      <c r="E261" s="314"/>
      <c r="F261" s="358"/>
      <c r="G261" s="269"/>
      <c r="H261" s="274"/>
      <c r="I261" s="29" t="s">
        <v>441</v>
      </c>
      <c r="J261" s="36" t="s">
        <v>65</v>
      </c>
      <c r="K261" s="41" t="s">
        <v>436</v>
      </c>
      <c r="L261" s="44" t="str">
        <f>VLOOKUP(K261,[1]CódigosRetorno!$A$2:$B$1996,2,FALSE)</f>
        <v>GrossWeightMeasure - El dato ingresado no cumple con el formato establecido.</v>
      </c>
      <c r="M261" s="36" t="s">
        <v>67</v>
      </c>
      <c r="N261" s="5"/>
      <c r="O261" s="81"/>
    </row>
    <row r="262" spans="2:15" ht="36" x14ac:dyDescent="0.25">
      <c r="B262" s="111">
        <f>B258+1</f>
        <v>53</v>
      </c>
      <c r="C262" s="186" t="s">
        <v>1139</v>
      </c>
      <c r="D262" s="111" t="s">
        <v>61</v>
      </c>
      <c r="E262" s="248" t="s">
        <v>15</v>
      </c>
      <c r="F262" s="199" t="s">
        <v>1140</v>
      </c>
      <c r="G262" s="199" t="s">
        <v>1141</v>
      </c>
      <c r="H262" s="186" t="s">
        <v>502</v>
      </c>
      <c r="I262" s="29" t="s">
        <v>1142</v>
      </c>
      <c r="J262" s="36" t="s">
        <v>65</v>
      </c>
      <c r="K262" s="41" t="s">
        <v>506</v>
      </c>
      <c r="L262" s="44" t="str">
        <f>VLOOKUP(K262,[1]CódigosRetorno!$A$2:$B$1996,2,FALSE)</f>
        <v>El indicador no debe repetirse</v>
      </c>
      <c r="M262" s="36" t="s">
        <v>67</v>
      </c>
      <c r="N262" s="5"/>
      <c r="O262" s="81"/>
    </row>
    <row r="263" spans="2:15" ht="120" x14ac:dyDescent="0.25">
      <c r="B263" s="295">
        <f>B262+1</f>
        <v>54</v>
      </c>
      <c r="C263" s="273" t="s">
        <v>510</v>
      </c>
      <c r="D263" s="295" t="s">
        <v>61</v>
      </c>
      <c r="E263" s="311" t="s">
        <v>15</v>
      </c>
      <c r="F263" s="271" t="s">
        <v>162</v>
      </c>
      <c r="G263" s="271" t="s">
        <v>511</v>
      </c>
      <c r="H263" s="273" t="s">
        <v>502</v>
      </c>
      <c r="I263" s="29" t="s">
        <v>1143</v>
      </c>
      <c r="J263" s="36" t="s">
        <v>65</v>
      </c>
      <c r="K263" s="41" t="s">
        <v>504</v>
      </c>
      <c r="L263" s="44" t="str">
        <f>VLOOKUP(K263,[1]CódigosRetorno!$A$2:$B$1996,2,FALSE)</f>
        <v>El indicador no cumple con el formato establecido</v>
      </c>
      <c r="M263" s="36" t="s">
        <v>67</v>
      </c>
      <c r="N263" s="5"/>
      <c r="O263" s="81"/>
    </row>
    <row r="264" spans="2:15" ht="24" x14ac:dyDescent="0.25">
      <c r="B264" s="297"/>
      <c r="C264" s="274"/>
      <c r="D264" s="297"/>
      <c r="E264" s="314"/>
      <c r="F264" s="272"/>
      <c r="G264" s="272"/>
      <c r="H264" s="274"/>
      <c r="I264" s="29" t="s">
        <v>512</v>
      </c>
      <c r="J264" s="36" t="s">
        <v>65</v>
      </c>
      <c r="K264" s="41" t="s">
        <v>506</v>
      </c>
      <c r="L264" s="44" t="str">
        <f>VLOOKUP(K264,[1]CódigosRetorno!$A$2:$B$1996,2,FALSE)</f>
        <v>El indicador no debe repetirse</v>
      </c>
      <c r="M264" s="36" t="s">
        <v>67</v>
      </c>
      <c r="N264" s="5"/>
      <c r="O264" s="81"/>
    </row>
    <row r="265" spans="2:15" ht="36" x14ac:dyDescent="0.25">
      <c r="B265" s="62">
        <f>B263+1</f>
        <v>55</v>
      </c>
      <c r="C265" s="185" t="s">
        <v>513</v>
      </c>
      <c r="D265" s="62" t="s">
        <v>61</v>
      </c>
      <c r="E265" s="249" t="s">
        <v>15</v>
      </c>
      <c r="F265" s="199" t="s">
        <v>1140</v>
      </c>
      <c r="G265" s="199" t="s">
        <v>514</v>
      </c>
      <c r="H265" s="185" t="s">
        <v>502</v>
      </c>
      <c r="I265" s="29" t="s">
        <v>515</v>
      </c>
      <c r="J265" s="36" t="s">
        <v>65</v>
      </c>
      <c r="K265" s="41" t="s">
        <v>506</v>
      </c>
      <c r="L265" s="44" t="str">
        <f>VLOOKUP(K265,[1]CódigosRetorno!$A$2:$B$1996,2,FALSE)</f>
        <v>El indicador no debe repetirse</v>
      </c>
      <c r="M265" s="36" t="s">
        <v>67</v>
      </c>
      <c r="N265" s="5"/>
      <c r="O265" s="81"/>
    </row>
    <row r="266" spans="2:15" ht="36" x14ac:dyDescent="0.25">
      <c r="B266" s="36">
        <f>B265+1</f>
        <v>56</v>
      </c>
      <c r="C266" s="189" t="s">
        <v>500</v>
      </c>
      <c r="D266" s="36" t="s">
        <v>61</v>
      </c>
      <c r="E266" s="197" t="s">
        <v>15</v>
      </c>
      <c r="F266" s="188" t="s">
        <v>162</v>
      </c>
      <c r="G266" s="188" t="s">
        <v>501</v>
      </c>
      <c r="H266" s="189" t="s">
        <v>502</v>
      </c>
      <c r="I266" s="29" t="s">
        <v>505</v>
      </c>
      <c r="J266" s="36" t="s">
        <v>65</v>
      </c>
      <c r="K266" s="41" t="s">
        <v>506</v>
      </c>
      <c r="L266" s="44" t="str">
        <f>VLOOKUP(K266,[1]CódigosRetorno!$A$2:$B$1996,2,FALSE)</f>
        <v>El indicador no debe repetirse</v>
      </c>
      <c r="M266" s="36" t="s">
        <v>67</v>
      </c>
      <c r="N266" s="5"/>
      <c r="O266" s="81"/>
    </row>
    <row r="267" spans="2:15" ht="36" x14ac:dyDescent="0.25">
      <c r="B267" s="62">
        <f>+B266+1</f>
        <v>57</v>
      </c>
      <c r="C267" s="185" t="s">
        <v>1144</v>
      </c>
      <c r="D267" s="62" t="s">
        <v>61</v>
      </c>
      <c r="E267" s="249" t="s">
        <v>15</v>
      </c>
      <c r="F267" s="249" t="s">
        <v>162</v>
      </c>
      <c r="G267" s="199" t="s">
        <v>1145</v>
      </c>
      <c r="H267" s="185" t="s">
        <v>502</v>
      </c>
      <c r="I267" s="29" t="s">
        <v>1146</v>
      </c>
      <c r="J267" s="36" t="s">
        <v>65</v>
      </c>
      <c r="K267" s="41" t="s">
        <v>506</v>
      </c>
      <c r="L267" s="44" t="str">
        <f>VLOOKUP(K267,[1]CódigosRetorno!$A$2:$B$1996,2,FALSE)</f>
        <v>El indicador no debe repetirse</v>
      </c>
      <c r="M267" s="36" t="s">
        <v>67</v>
      </c>
      <c r="N267" s="5"/>
      <c r="O267" s="81"/>
    </row>
    <row r="268" spans="2:15" ht="48" x14ac:dyDescent="0.25">
      <c r="B268" s="266">
        <f>+B267+1</f>
        <v>58</v>
      </c>
      <c r="C268" s="265" t="s">
        <v>1147</v>
      </c>
      <c r="D268" s="266" t="s">
        <v>61</v>
      </c>
      <c r="E268" s="311" t="s">
        <v>15</v>
      </c>
      <c r="F268" s="271" t="s">
        <v>162</v>
      </c>
      <c r="G268" s="271" t="s">
        <v>1148</v>
      </c>
      <c r="H268" s="273" t="s">
        <v>502</v>
      </c>
      <c r="I268" s="27" t="s">
        <v>1149</v>
      </c>
      <c r="J268" s="5" t="s">
        <v>111</v>
      </c>
      <c r="K268" s="41" t="s">
        <v>1150</v>
      </c>
      <c r="L268" s="44" t="str">
        <f>VLOOKUP(K268,[1]CódigosRetorno!$A$2:$B$1996,2,FALSE)</f>
        <v>Debe consignar el Indicador de pagador de flete</v>
      </c>
      <c r="M268" s="36" t="s">
        <v>67</v>
      </c>
      <c r="N268" s="5"/>
      <c r="O268" s="81"/>
    </row>
    <row r="269" spans="2:15" ht="24" x14ac:dyDescent="0.25">
      <c r="B269" s="266"/>
      <c r="C269" s="265"/>
      <c r="D269" s="266"/>
      <c r="E269" s="314"/>
      <c r="F269" s="272"/>
      <c r="G269" s="272"/>
      <c r="H269" s="274"/>
      <c r="I269" s="29" t="s">
        <v>1151</v>
      </c>
      <c r="J269" s="36" t="s">
        <v>65</v>
      </c>
      <c r="K269" s="41" t="s">
        <v>506</v>
      </c>
      <c r="L269" s="44" t="str">
        <f>VLOOKUP(K269,[1]CódigosRetorno!$A$2:$B$1996,2,FALSE)</f>
        <v>El indicador no debe repetirse</v>
      </c>
      <c r="M269" s="36" t="s">
        <v>67</v>
      </c>
      <c r="N269" s="5"/>
      <c r="O269" s="81"/>
    </row>
    <row r="270" spans="2:15" ht="72.599999999999994" customHeight="1" x14ac:dyDescent="0.25">
      <c r="B270" s="36">
        <f>B268+1</f>
        <v>59</v>
      </c>
      <c r="C270" s="191" t="s">
        <v>530</v>
      </c>
      <c r="D270" s="5" t="s">
        <v>61</v>
      </c>
      <c r="E270" s="188" t="s">
        <v>15</v>
      </c>
      <c r="F270" s="188" t="s">
        <v>17</v>
      </c>
      <c r="G270" s="190" t="s">
        <v>531</v>
      </c>
      <c r="H270" s="189" t="s">
        <v>532</v>
      </c>
      <c r="I270" s="27" t="s">
        <v>533</v>
      </c>
      <c r="J270" s="5" t="s">
        <v>65</v>
      </c>
      <c r="K270" s="3" t="s">
        <v>534</v>
      </c>
      <c r="L270" s="44" t="str">
        <f>VLOOKUP(K270,[1]CódigosRetorno!$A$2:$B$1996,2,FALSE)</f>
        <v>No debe consignar el el Tipo de evento</v>
      </c>
      <c r="M270" s="36" t="s">
        <v>67</v>
      </c>
      <c r="N270" s="5"/>
      <c r="O270" s="81"/>
    </row>
    <row r="271" spans="2:15" x14ac:dyDescent="0.25">
      <c r="B271" s="92" t="s">
        <v>1152</v>
      </c>
      <c r="C271" s="93"/>
      <c r="D271" s="94"/>
      <c r="E271" s="95"/>
      <c r="F271" s="96"/>
      <c r="G271" s="97"/>
      <c r="H271" s="93"/>
      <c r="I271" s="93"/>
      <c r="J271" s="94"/>
      <c r="K271" s="98"/>
      <c r="L271" s="93"/>
      <c r="M271" s="94"/>
      <c r="N271" s="99"/>
      <c r="O271" s="81"/>
    </row>
    <row r="272" spans="2:15" ht="24" customHeight="1" x14ac:dyDescent="0.25">
      <c r="B272" s="295">
        <f>B270+1</f>
        <v>60</v>
      </c>
      <c r="C272" s="273" t="s">
        <v>1153</v>
      </c>
      <c r="D272" s="295" t="s">
        <v>61</v>
      </c>
      <c r="E272" s="311" t="s">
        <v>15</v>
      </c>
      <c r="F272" s="5" t="s">
        <v>143</v>
      </c>
      <c r="G272" s="5" t="s">
        <v>389</v>
      </c>
      <c r="H272" s="29" t="s">
        <v>1154</v>
      </c>
      <c r="I272" s="29" t="s">
        <v>1155</v>
      </c>
      <c r="J272" s="61" t="s">
        <v>58</v>
      </c>
      <c r="K272" s="110" t="s">
        <v>58</v>
      </c>
      <c r="L272" s="44" t="str">
        <f>VLOOKUP(K272,[1]CódigosRetorno!$A$2:$B$1996,2,FALSE)</f>
        <v>-</v>
      </c>
      <c r="M272" s="61"/>
      <c r="N272" s="5"/>
      <c r="O272" s="81"/>
    </row>
    <row r="273" spans="1:15" ht="36" customHeight="1" x14ac:dyDescent="0.25">
      <c r="B273" s="296"/>
      <c r="C273" s="279"/>
      <c r="D273" s="296"/>
      <c r="E273" s="312"/>
      <c r="F273" s="271" t="s">
        <v>17</v>
      </c>
      <c r="G273" s="271" t="s">
        <v>127</v>
      </c>
      <c r="H273" s="273" t="s">
        <v>1156</v>
      </c>
      <c r="I273" s="44" t="s">
        <v>1157</v>
      </c>
      <c r="J273" s="36" t="s">
        <v>111</v>
      </c>
      <c r="K273" s="41" t="s">
        <v>1158</v>
      </c>
      <c r="L273" s="44" t="str">
        <f>VLOOKUP(K273,[1]CódigosRetorno!$A$2:$B$1996,2,FALSE)</f>
        <v>El XML no contiene el atributo o no existe informacion del tipo de documento de identidad del subcontratador</v>
      </c>
      <c r="M273" s="36" t="s">
        <v>67</v>
      </c>
      <c r="N273" s="5"/>
      <c r="O273" s="81"/>
    </row>
    <row r="274" spans="1:15" ht="24" x14ac:dyDescent="0.25">
      <c r="B274" s="296"/>
      <c r="C274" s="279"/>
      <c r="D274" s="296"/>
      <c r="E274" s="312"/>
      <c r="F274" s="272"/>
      <c r="G274" s="272"/>
      <c r="H274" s="274"/>
      <c r="I274" s="29" t="s">
        <v>1159</v>
      </c>
      <c r="J274" s="36" t="s">
        <v>65</v>
      </c>
      <c r="K274" s="41" t="s">
        <v>1160</v>
      </c>
      <c r="L274" s="44" t="str">
        <f>VLOOKUP(K274,[1]CódigosRetorno!$A$2:$B$1996,2,FALSE)</f>
        <v>El Tipo de documento de identidad del subcontratador debe ser 6-Numero de RUC</v>
      </c>
      <c r="M274" s="36" t="s">
        <v>67</v>
      </c>
      <c r="N274" s="5"/>
      <c r="O274" s="81"/>
    </row>
    <row r="275" spans="1:15" ht="24" customHeight="1" x14ac:dyDescent="0.25">
      <c r="B275" s="296"/>
      <c r="C275" s="279"/>
      <c r="D275" s="296"/>
      <c r="E275" s="312"/>
      <c r="F275" s="271" t="s">
        <v>143</v>
      </c>
      <c r="G275" s="271" t="s">
        <v>144</v>
      </c>
      <c r="H275" s="359" t="s">
        <v>1161</v>
      </c>
      <c r="I275" s="29" t="s">
        <v>1162</v>
      </c>
      <c r="J275" s="36" t="s">
        <v>111</v>
      </c>
      <c r="K275" s="41" t="s">
        <v>1163</v>
      </c>
      <c r="L275" s="44" t="str">
        <f>VLOOKUP(K275,[1]CódigosRetorno!$A$2:$B$1996,2,FALSE)</f>
        <v>El XML no contiene el tag o no existe informacion del numero de documento de identidad del subcontratador</v>
      </c>
      <c r="M275" s="36" t="s">
        <v>67</v>
      </c>
      <c r="N275" s="5"/>
      <c r="O275" s="81"/>
    </row>
    <row r="276" spans="1:15" ht="24" x14ac:dyDescent="0.25">
      <c r="B276" s="296"/>
      <c r="C276" s="279"/>
      <c r="D276" s="296"/>
      <c r="E276" s="312"/>
      <c r="F276" s="285"/>
      <c r="G276" s="285"/>
      <c r="H276" s="360"/>
      <c r="I276" s="29" t="s">
        <v>1164</v>
      </c>
      <c r="J276" s="36" t="s">
        <v>65</v>
      </c>
      <c r="K276" s="41" t="s">
        <v>1165</v>
      </c>
      <c r="L276" s="44" t="str">
        <f>VLOOKUP(K276,[1]CódigosRetorno!$A$2:$B$1996,2,FALSE)</f>
        <v>El tipo y numero de documento de identidad del subcontratador es el mismo que del Transportista</v>
      </c>
      <c r="M276" s="36" t="s">
        <v>67</v>
      </c>
      <c r="N276" s="5"/>
      <c r="O276" s="81"/>
    </row>
    <row r="277" spans="1:15" ht="24" x14ac:dyDescent="0.25">
      <c r="B277" s="297"/>
      <c r="C277" s="274"/>
      <c r="D277" s="297"/>
      <c r="E277" s="314"/>
      <c r="F277" s="272"/>
      <c r="G277" s="272"/>
      <c r="H277" s="361"/>
      <c r="I277" s="29" t="s">
        <v>1166</v>
      </c>
      <c r="J277" s="36" t="s">
        <v>65</v>
      </c>
      <c r="K277" s="41" t="s">
        <v>1167</v>
      </c>
      <c r="L277" s="44" t="str">
        <f>VLOOKUP(K277,[1]CódigosRetorno!$A$2:$B$1996,2,FALSE)</f>
        <v>El Numero de RUC del subcontratador no existe</v>
      </c>
      <c r="M277" s="36" t="s">
        <v>85</v>
      </c>
      <c r="N277" s="5" t="s">
        <v>150</v>
      </c>
      <c r="O277" s="81"/>
    </row>
    <row r="278" spans="1:15" ht="24" customHeight="1" x14ac:dyDescent="0.25">
      <c r="B278" s="295">
        <f>+B272+1</f>
        <v>61</v>
      </c>
      <c r="C278" s="273" t="s">
        <v>1168</v>
      </c>
      <c r="D278" s="295" t="s">
        <v>61</v>
      </c>
      <c r="E278" s="311" t="s">
        <v>15</v>
      </c>
      <c r="F278" s="271" t="s">
        <v>36</v>
      </c>
      <c r="G278" s="287"/>
      <c r="H278" s="273" t="s">
        <v>1169</v>
      </c>
      <c r="I278" s="29" t="s">
        <v>1162</v>
      </c>
      <c r="J278" s="36" t="s">
        <v>111</v>
      </c>
      <c r="K278" s="41" t="s">
        <v>1170</v>
      </c>
      <c r="L278" s="44" t="str">
        <f>VLOOKUP(K278,[1]CódigosRetorno!$A$2:$B$1996,2,FALSE)</f>
        <v>El XML no contiene el atributo o no existe informacion del nombre o razon social del subcontratador</v>
      </c>
      <c r="M278" s="36" t="s">
        <v>67</v>
      </c>
      <c r="N278" s="5"/>
      <c r="O278" s="81"/>
    </row>
    <row r="279" spans="1:15" ht="60" x14ac:dyDescent="0.25">
      <c r="B279" s="297"/>
      <c r="C279" s="274"/>
      <c r="D279" s="297"/>
      <c r="E279" s="314"/>
      <c r="F279" s="272"/>
      <c r="G279" s="291"/>
      <c r="H279" s="274"/>
      <c r="I279" s="29" t="s">
        <v>1171</v>
      </c>
      <c r="J279" s="36" t="s">
        <v>111</v>
      </c>
      <c r="K279" s="41" t="s">
        <v>1172</v>
      </c>
      <c r="L279" s="44" t="str">
        <f>VLOOKUP(K279,[1]CódigosRetorno!$A$2:$B$1996,2,FALSE)</f>
        <v>El nombre/razon social del subcontratador no cumple con el formato establecido</v>
      </c>
      <c r="M279" s="36" t="s">
        <v>67</v>
      </c>
      <c r="N279" s="5"/>
      <c r="O279" s="81"/>
    </row>
    <row r="280" spans="1:15" x14ac:dyDescent="0.25">
      <c r="B280" s="92" t="s">
        <v>1173</v>
      </c>
      <c r="C280" s="93"/>
      <c r="D280" s="94"/>
      <c r="E280" s="95"/>
      <c r="F280" s="96"/>
      <c r="G280" s="97"/>
      <c r="H280" s="93"/>
      <c r="I280" s="93"/>
      <c r="J280" s="94"/>
      <c r="K280" s="98"/>
      <c r="L280" s="93"/>
      <c r="M280" s="94"/>
      <c r="N280" s="99"/>
      <c r="O280" s="81"/>
    </row>
    <row r="281" spans="1:15" ht="24" customHeight="1" x14ac:dyDescent="0.25">
      <c r="B281" s="295">
        <f>B278+1</f>
        <v>62</v>
      </c>
      <c r="C281" s="273" t="s">
        <v>1174</v>
      </c>
      <c r="D281" s="295" t="s">
        <v>61</v>
      </c>
      <c r="E281" s="311" t="s">
        <v>15</v>
      </c>
      <c r="F281" s="271" t="s">
        <v>17</v>
      </c>
      <c r="G281" s="271" t="s">
        <v>273</v>
      </c>
      <c r="H281" s="273" t="s">
        <v>1175</v>
      </c>
      <c r="I281" s="44" t="s">
        <v>1176</v>
      </c>
      <c r="J281" s="36" t="s">
        <v>111</v>
      </c>
      <c r="K281" s="41" t="s">
        <v>1177</v>
      </c>
      <c r="L281" s="44" t="str">
        <f>VLOOKUP(K281,[1]CódigosRetorno!$A$2:$B$1996,2,FALSE)</f>
        <v>El XML no contiene el tag o no existe informacion del tipo de documento de identidad de quien paga el servicio</v>
      </c>
      <c r="M281" s="36" t="s">
        <v>67</v>
      </c>
      <c r="N281" s="5" t="s">
        <v>58</v>
      </c>
      <c r="O281" s="81"/>
    </row>
    <row r="282" spans="1:15" ht="36" x14ac:dyDescent="0.25">
      <c r="B282" s="296"/>
      <c r="C282" s="279"/>
      <c r="D282" s="296"/>
      <c r="E282" s="312"/>
      <c r="F282" s="272"/>
      <c r="G282" s="272"/>
      <c r="H282" s="274"/>
      <c r="I282" s="29" t="s">
        <v>1178</v>
      </c>
      <c r="J282" s="36" t="s">
        <v>65</v>
      </c>
      <c r="K282" s="41" t="s">
        <v>1179</v>
      </c>
      <c r="L282" s="44" t="str">
        <f>VLOOKUP(K282,[1]CódigosRetorno!$A$2:$B$1996,2,FALSE)</f>
        <v>El Tipo de documento de identidad de quien paga el servicio es invalido</v>
      </c>
      <c r="M282" s="36" t="s">
        <v>67</v>
      </c>
      <c r="N282" s="5" t="s">
        <v>279</v>
      </c>
      <c r="O282" s="81"/>
    </row>
    <row r="283" spans="1:15" s="85" customFormat="1" ht="24" x14ac:dyDescent="0.25">
      <c r="A283" s="72"/>
      <c r="B283" s="296"/>
      <c r="C283" s="279"/>
      <c r="D283" s="296"/>
      <c r="E283" s="312"/>
      <c r="F283" s="271" t="s">
        <v>18</v>
      </c>
      <c r="G283" s="287"/>
      <c r="H283" s="273" t="s">
        <v>1180</v>
      </c>
      <c r="I283" s="29" t="s">
        <v>1181</v>
      </c>
      <c r="J283" s="36" t="s">
        <v>111</v>
      </c>
      <c r="K283" s="41" t="s">
        <v>1182</v>
      </c>
      <c r="L283" s="44" t="str">
        <f>VLOOKUP(K283,[1]CódigosRetorno!$A$2:$B$1996,2,FALSE)</f>
        <v>El XML no contiene el atributo o no existe informacion del numero de documento de identidad de quien paga el servicio</v>
      </c>
      <c r="M283" s="36" t="s">
        <v>67</v>
      </c>
      <c r="N283" s="5"/>
      <c r="O283" s="84"/>
    </row>
    <row r="284" spans="1:15" s="8" customFormat="1" ht="24" x14ac:dyDescent="0.25">
      <c r="A284" s="72"/>
      <c r="B284" s="296"/>
      <c r="C284" s="279"/>
      <c r="D284" s="296"/>
      <c r="E284" s="312"/>
      <c r="F284" s="285"/>
      <c r="G284" s="288"/>
      <c r="H284" s="279"/>
      <c r="I284" s="29" t="s">
        <v>1183</v>
      </c>
      <c r="J284" s="36" t="s">
        <v>65</v>
      </c>
      <c r="K284" s="41" t="s">
        <v>1184</v>
      </c>
      <c r="L284" s="44" t="str">
        <f>VLOOKUP(K284,[1]CódigosRetorno!$A$2:$B$1996,2,FALSE)</f>
        <v>El Numero de documento de identidad de quien paga el servicio no cumple con el formato establecido</v>
      </c>
      <c r="M284" s="36" t="s">
        <v>67</v>
      </c>
      <c r="N284" s="5"/>
      <c r="O284" s="6"/>
    </row>
    <row r="285" spans="1:15" s="8" customFormat="1" ht="36" x14ac:dyDescent="0.25">
      <c r="A285" s="72"/>
      <c r="B285" s="296"/>
      <c r="C285" s="279"/>
      <c r="D285" s="296"/>
      <c r="E285" s="312"/>
      <c r="F285" s="285"/>
      <c r="G285" s="288"/>
      <c r="H285" s="279"/>
      <c r="I285" s="29" t="s">
        <v>1185</v>
      </c>
      <c r="J285" s="36" t="s">
        <v>65</v>
      </c>
      <c r="K285" s="41" t="s">
        <v>1186</v>
      </c>
      <c r="L285" s="44" t="str">
        <f>VLOOKUP(K285,[1]CódigosRetorno!$A$2:$B$1996,2,FALSE)</f>
        <v>El Numero de DNI de quien paga el servicio no existe</v>
      </c>
      <c r="M285" s="36" t="s">
        <v>85</v>
      </c>
      <c r="N285" s="5" t="s">
        <v>302</v>
      </c>
      <c r="O285" s="6"/>
    </row>
    <row r="286" spans="1:15" s="8" customFormat="1" ht="24" x14ac:dyDescent="0.25">
      <c r="A286" s="72"/>
      <c r="B286" s="296"/>
      <c r="C286" s="279"/>
      <c r="D286" s="296"/>
      <c r="E286" s="312"/>
      <c r="F286" s="285"/>
      <c r="G286" s="288"/>
      <c r="H286" s="279"/>
      <c r="I286" s="29" t="s">
        <v>1187</v>
      </c>
      <c r="J286" s="36" t="s">
        <v>65</v>
      </c>
      <c r="K286" s="41" t="s">
        <v>1184</v>
      </c>
      <c r="L286" s="44" t="str">
        <f>VLOOKUP(K286,[1]CódigosRetorno!$A$2:$B$1996,2,FALSE)</f>
        <v>El Numero de documento de identidad de quien paga el servicio no cumple con el formato establecido</v>
      </c>
      <c r="M286" s="36" t="s">
        <v>67</v>
      </c>
      <c r="N286" s="5"/>
      <c r="O286" s="6"/>
    </row>
    <row r="287" spans="1:15" s="8" customFormat="1" ht="24" x14ac:dyDescent="0.25">
      <c r="A287" s="72"/>
      <c r="B287" s="296"/>
      <c r="C287" s="279"/>
      <c r="D287" s="296"/>
      <c r="E287" s="312"/>
      <c r="F287" s="285"/>
      <c r="G287" s="288"/>
      <c r="H287" s="279"/>
      <c r="I287" s="29" t="s">
        <v>1188</v>
      </c>
      <c r="J287" s="36" t="s">
        <v>65</v>
      </c>
      <c r="K287" s="41" t="s">
        <v>1189</v>
      </c>
      <c r="L287" s="44" t="str">
        <f>VLOOKUP(K287,[1]CódigosRetorno!$A$2:$B$1996,2,FALSE)</f>
        <v>El Numero de RUC de quien paga el servicio no existe</v>
      </c>
      <c r="M287" s="36" t="s">
        <v>85</v>
      </c>
      <c r="N287" s="5" t="s">
        <v>150</v>
      </c>
      <c r="O287" s="6"/>
    </row>
    <row r="288" spans="1:15" s="8" customFormat="1" ht="48" x14ac:dyDescent="0.25">
      <c r="A288" s="72"/>
      <c r="B288" s="297"/>
      <c r="C288" s="274"/>
      <c r="D288" s="297"/>
      <c r="E288" s="314"/>
      <c r="F288" s="272"/>
      <c r="G288" s="291"/>
      <c r="H288" s="274"/>
      <c r="I288" s="29" t="s">
        <v>1190</v>
      </c>
      <c r="J288" s="36" t="s">
        <v>65</v>
      </c>
      <c r="K288" s="41" t="s">
        <v>1184</v>
      </c>
      <c r="L288" s="44" t="str">
        <f>VLOOKUP(K288,[1]CódigosRetorno!$A$2:$B$1996,2,FALSE)</f>
        <v>El Numero de documento de identidad de quien paga el servicio no cumple con el formato establecido</v>
      </c>
      <c r="M288" s="36" t="s">
        <v>67</v>
      </c>
      <c r="N288" s="5"/>
      <c r="O288" s="6"/>
    </row>
    <row r="289" spans="2:15" ht="24" x14ac:dyDescent="0.25">
      <c r="B289" s="295">
        <f>B281+1</f>
        <v>63</v>
      </c>
      <c r="C289" s="273" t="s">
        <v>1191</v>
      </c>
      <c r="D289" s="295" t="s">
        <v>61</v>
      </c>
      <c r="E289" s="311" t="s">
        <v>15</v>
      </c>
      <c r="F289" s="271" t="s">
        <v>36</v>
      </c>
      <c r="G289" s="287"/>
      <c r="H289" s="273" t="s">
        <v>1192</v>
      </c>
      <c r="I289" s="29" t="s">
        <v>1193</v>
      </c>
      <c r="J289" s="36" t="s">
        <v>111</v>
      </c>
      <c r="K289" s="41" t="s">
        <v>1194</v>
      </c>
      <c r="L289" s="44" t="str">
        <f>VLOOKUP(K289,[1]CódigosRetorno!$A$2:$B$1996,2,FALSE)</f>
        <v>El XML no contiene el tag o no existe informacion del nombre o razon social de quien paga el servicio</v>
      </c>
      <c r="M289" s="36" t="s">
        <v>67</v>
      </c>
      <c r="N289" s="5"/>
      <c r="O289" s="81"/>
    </row>
    <row r="290" spans="2:15" ht="60" x14ac:dyDescent="0.25">
      <c r="B290" s="297"/>
      <c r="C290" s="274"/>
      <c r="D290" s="297"/>
      <c r="E290" s="314"/>
      <c r="F290" s="272"/>
      <c r="G290" s="291"/>
      <c r="H290" s="274"/>
      <c r="I290" s="29" t="s">
        <v>1195</v>
      </c>
      <c r="J290" s="36" t="s">
        <v>111</v>
      </c>
      <c r="K290" s="41" t="s">
        <v>1196</v>
      </c>
      <c r="L290" s="44" t="str">
        <f>VLOOKUP(K290,[1]CódigosRetorno!$A$2:$B$1996,2,FALSE)</f>
        <v>El nombre o razon social de quien paga el servicio no cumple con el formato establecido</v>
      </c>
      <c r="M290" s="36" t="s">
        <v>67</v>
      </c>
      <c r="N290" s="5"/>
      <c r="O290" s="81"/>
    </row>
    <row r="291" spans="2:15" x14ac:dyDescent="0.25">
      <c r="B291" s="92" t="s">
        <v>950</v>
      </c>
      <c r="C291" s="93"/>
      <c r="D291" s="94"/>
      <c r="E291" s="95"/>
      <c r="F291" s="96"/>
      <c r="G291" s="97"/>
      <c r="H291" s="93"/>
      <c r="I291" s="93"/>
      <c r="J291" s="94"/>
      <c r="K291" s="98"/>
      <c r="L291" s="93"/>
      <c r="M291" s="94"/>
      <c r="N291" s="99"/>
      <c r="O291" s="81"/>
    </row>
    <row r="292" spans="2:15" x14ac:dyDescent="0.25">
      <c r="B292" s="362">
        <f>+B289+1</f>
        <v>64</v>
      </c>
      <c r="C292" s="363" t="s">
        <v>951</v>
      </c>
      <c r="D292" s="364" t="s">
        <v>61</v>
      </c>
      <c r="E292" s="364" t="s">
        <v>5</v>
      </c>
      <c r="F292" s="364" t="s">
        <v>952</v>
      </c>
      <c r="G292" s="112"/>
      <c r="H292" s="89"/>
      <c r="I292" s="89" t="s">
        <v>953</v>
      </c>
      <c r="J292" s="88" t="s">
        <v>65</v>
      </c>
      <c r="K292" s="113" t="s">
        <v>954</v>
      </c>
      <c r="L292" s="44" t="str">
        <f>VLOOKUP(K292,[1]CódigosRetorno!$A$2:$B$1996,2,FALSE)</f>
        <v>El XML no contiene firma digital.</v>
      </c>
      <c r="M292" s="58"/>
      <c r="N292" s="294" t="s">
        <v>955</v>
      </c>
      <c r="O292" s="81"/>
    </row>
    <row r="293" spans="2:15" x14ac:dyDescent="0.25">
      <c r="B293" s="362"/>
      <c r="C293" s="363"/>
      <c r="D293" s="364"/>
      <c r="E293" s="364"/>
      <c r="F293" s="364"/>
      <c r="G293" s="112"/>
      <c r="H293" s="89"/>
      <c r="I293" s="89" t="s">
        <v>956</v>
      </c>
      <c r="J293" s="88" t="s">
        <v>65</v>
      </c>
      <c r="K293" s="113" t="s">
        <v>957</v>
      </c>
      <c r="L293" s="89" t="str">
        <f>VLOOKUP(K293,[1]CódigosRetorno!$A$2:$B$1996,2,FALSE)</f>
        <v>Ocurrió un error en el proceso de validación de la firma digital</v>
      </c>
      <c r="M293" s="58"/>
      <c r="N293" s="294"/>
    </row>
  </sheetData>
  <mergeCells count="437">
    <mergeCell ref="B292:B293"/>
    <mergeCell ref="C292:C293"/>
    <mergeCell ref="D292:D293"/>
    <mergeCell ref="E292:E293"/>
    <mergeCell ref="F292:F293"/>
    <mergeCell ref="N292:N293"/>
    <mergeCell ref="H283:H288"/>
    <mergeCell ref="B289:B290"/>
    <mergeCell ref="C289:C290"/>
    <mergeCell ref="D289:D290"/>
    <mergeCell ref="E289:E290"/>
    <mergeCell ref="F289:F290"/>
    <mergeCell ref="G289:G290"/>
    <mergeCell ref="H289:H290"/>
    <mergeCell ref="B281:B288"/>
    <mergeCell ref="C281:C288"/>
    <mergeCell ref="D281:D288"/>
    <mergeCell ref="E281:E288"/>
    <mergeCell ref="F281:F282"/>
    <mergeCell ref="G281:G282"/>
    <mergeCell ref="H281:H282"/>
    <mergeCell ref="F283:F288"/>
    <mergeCell ref="G283:G288"/>
    <mergeCell ref="H273:H274"/>
    <mergeCell ref="F275:F277"/>
    <mergeCell ref="G275:G277"/>
    <mergeCell ref="H275:H277"/>
    <mergeCell ref="B278:B279"/>
    <mergeCell ref="C278:C279"/>
    <mergeCell ref="D278:D279"/>
    <mergeCell ref="E278:E279"/>
    <mergeCell ref="F278:F279"/>
    <mergeCell ref="G278:G279"/>
    <mergeCell ref="B272:B277"/>
    <mergeCell ref="C272:C277"/>
    <mergeCell ref="D272:D277"/>
    <mergeCell ref="E272:E277"/>
    <mergeCell ref="F273:F274"/>
    <mergeCell ref="G273:G274"/>
    <mergeCell ref="H278:H279"/>
    <mergeCell ref="H263:H264"/>
    <mergeCell ref="B268:B269"/>
    <mergeCell ref="C268:C269"/>
    <mergeCell ref="D268:D269"/>
    <mergeCell ref="E268:E269"/>
    <mergeCell ref="F268:F269"/>
    <mergeCell ref="G268:G269"/>
    <mergeCell ref="H268:H269"/>
    <mergeCell ref="H258:H259"/>
    <mergeCell ref="F260:F261"/>
    <mergeCell ref="G260:G261"/>
    <mergeCell ref="H260:H261"/>
    <mergeCell ref="B263:B264"/>
    <mergeCell ref="C263:C264"/>
    <mergeCell ref="D263:D264"/>
    <mergeCell ref="E263:E264"/>
    <mergeCell ref="F263:F264"/>
    <mergeCell ref="G263:G264"/>
    <mergeCell ref="B258:B261"/>
    <mergeCell ref="C258:C261"/>
    <mergeCell ref="D258:D261"/>
    <mergeCell ref="E258:E261"/>
    <mergeCell ref="F258:F259"/>
    <mergeCell ref="G258:G259"/>
    <mergeCell ref="B245:B247"/>
    <mergeCell ref="C245:C247"/>
    <mergeCell ref="D245:D247"/>
    <mergeCell ref="E245:E247"/>
    <mergeCell ref="F245:F247"/>
    <mergeCell ref="G245:G247"/>
    <mergeCell ref="H245:H247"/>
    <mergeCell ref="H250:H252"/>
    <mergeCell ref="B253:B257"/>
    <mergeCell ref="C253:C257"/>
    <mergeCell ref="D253:D257"/>
    <mergeCell ref="E253:E257"/>
    <mergeCell ref="F253:F254"/>
    <mergeCell ref="G253:G254"/>
    <mergeCell ref="F255:F257"/>
    <mergeCell ref="G255:G257"/>
    <mergeCell ref="H255:H257"/>
    <mergeCell ref="B250:B252"/>
    <mergeCell ref="C250:C252"/>
    <mergeCell ref="D250:D252"/>
    <mergeCell ref="E250:E252"/>
    <mergeCell ref="F250:F252"/>
    <mergeCell ref="G250:G252"/>
    <mergeCell ref="B241:B244"/>
    <mergeCell ref="C241:C244"/>
    <mergeCell ref="D241:D244"/>
    <mergeCell ref="E241:E244"/>
    <mergeCell ref="F241:F242"/>
    <mergeCell ref="G241:G242"/>
    <mergeCell ref="H241:H242"/>
    <mergeCell ref="F243:F244"/>
    <mergeCell ref="G243:G244"/>
    <mergeCell ref="H243:H244"/>
    <mergeCell ref="H229:H230"/>
    <mergeCell ref="B231:B240"/>
    <mergeCell ref="C231:C240"/>
    <mergeCell ref="D231:D240"/>
    <mergeCell ref="E231:E240"/>
    <mergeCell ref="F231:F232"/>
    <mergeCell ref="G231:G232"/>
    <mergeCell ref="H231:H232"/>
    <mergeCell ref="F233:F235"/>
    <mergeCell ref="F236:F240"/>
    <mergeCell ref="B229:B230"/>
    <mergeCell ref="C229:C230"/>
    <mergeCell ref="D229:D230"/>
    <mergeCell ref="E229:E230"/>
    <mergeCell ref="F229:F230"/>
    <mergeCell ref="G229:G230"/>
    <mergeCell ref="G236:G240"/>
    <mergeCell ref="H236:H240"/>
    <mergeCell ref="H223:H224"/>
    <mergeCell ref="B225:B227"/>
    <mergeCell ref="C225:C227"/>
    <mergeCell ref="D225:D227"/>
    <mergeCell ref="E225:E227"/>
    <mergeCell ref="F225:F227"/>
    <mergeCell ref="G225:G227"/>
    <mergeCell ref="H225:H227"/>
    <mergeCell ref="F217:F220"/>
    <mergeCell ref="G217:G220"/>
    <mergeCell ref="H217:H220"/>
    <mergeCell ref="B221:B224"/>
    <mergeCell ref="C221:C224"/>
    <mergeCell ref="D221:D224"/>
    <mergeCell ref="E221:E224"/>
    <mergeCell ref="F221:F224"/>
    <mergeCell ref="G221:G224"/>
    <mergeCell ref="H221:H222"/>
    <mergeCell ref="G210:G211"/>
    <mergeCell ref="H210:H211"/>
    <mergeCell ref="B212:B220"/>
    <mergeCell ref="C212:C220"/>
    <mergeCell ref="D212:D220"/>
    <mergeCell ref="E212:E220"/>
    <mergeCell ref="F212:F213"/>
    <mergeCell ref="G212:G213"/>
    <mergeCell ref="H212:H213"/>
    <mergeCell ref="F214:F216"/>
    <mergeCell ref="F207:F208"/>
    <mergeCell ref="B210:B211"/>
    <mergeCell ref="C210:C211"/>
    <mergeCell ref="D210:D211"/>
    <mergeCell ref="E210:E211"/>
    <mergeCell ref="F210:F211"/>
    <mergeCell ref="B202:B208"/>
    <mergeCell ref="C202:C208"/>
    <mergeCell ref="D202:D208"/>
    <mergeCell ref="E202:E208"/>
    <mergeCell ref="F202:F203"/>
    <mergeCell ref="B199:B201"/>
    <mergeCell ref="C199:C201"/>
    <mergeCell ref="D199:D201"/>
    <mergeCell ref="E199:E201"/>
    <mergeCell ref="F199:F201"/>
    <mergeCell ref="G199:G201"/>
    <mergeCell ref="H199:H201"/>
    <mergeCell ref="H202:H203"/>
    <mergeCell ref="F204:F206"/>
    <mergeCell ref="G204:G206"/>
    <mergeCell ref="H204:H206"/>
    <mergeCell ref="G202:G203"/>
    <mergeCell ref="H188:H189"/>
    <mergeCell ref="F190:F192"/>
    <mergeCell ref="G190:G192"/>
    <mergeCell ref="H190:H192"/>
    <mergeCell ref="F193:F194"/>
    <mergeCell ref="B196:B198"/>
    <mergeCell ref="C196:C198"/>
    <mergeCell ref="D196:D198"/>
    <mergeCell ref="E196:E198"/>
    <mergeCell ref="F196:F198"/>
    <mergeCell ref="B188:B194"/>
    <mergeCell ref="C188:C194"/>
    <mergeCell ref="D188:D194"/>
    <mergeCell ref="E188:E194"/>
    <mergeCell ref="F188:F189"/>
    <mergeCell ref="G188:G189"/>
    <mergeCell ref="G196:G198"/>
    <mergeCell ref="H196:H198"/>
    <mergeCell ref="G182:G184"/>
    <mergeCell ref="H182:H184"/>
    <mergeCell ref="B185:B187"/>
    <mergeCell ref="C185:C187"/>
    <mergeCell ref="D185:D187"/>
    <mergeCell ref="E185:E187"/>
    <mergeCell ref="F185:F187"/>
    <mergeCell ref="G185:G187"/>
    <mergeCell ref="H185:H187"/>
    <mergeCell ref="B177:B180"/>
    <mergeCell ref="C177:C180"/>
    <mergeCell ref="D177:D180"/>
    <mergeCell ref="E177:E180"/>
    <mergeCell ref="B182:B184"/>
    <mergeCell ref="C182:C184"/>
    <mergeCell ref="D182:D184"/>
    <mergeCell ref="E182:E184"/>
    <mergeCell ref="F182:F184"/>
    <mergeCell ref="G168:G171"/>
    <mergeCell ref="H168:H171"/>
    <mergeCell ref="F172:F173"/>
    <mergeCell ref="B174:B176"/>
    <mergeCell ref="C174:C176"/>
    <mergeCell ref="D174:D176"/>
    <mergeCell ref="E174:E176"/>
    <mergeCell ref="F174:F176"/>
    <mergeCell ref="G174:G176"/>
    <mergeCell ref="H174:H176"/>
    <mergeCell ref="B163:B166"/>
    <mergeCell ref="C163:C166"/>
    <mergeCell ref="D163:D166"/>
    <mergeCell ref="E163:E166"/>
    <mergeCell ref="B168:B173"/>
    <mergeCell ref="C168:C173"/>
    <mergeCell ref="D168:D173"/>
    <mergeCell ref="E168:E173"/>
    <mergeCell ref="H156:H158"/>
    <mergeCell ref="F159:F160"/>
    <mergeCell ref="B161:B162"/>
    <mergeCell ref="C161:C162"/>
    <mergeCell ref="D161:D162"/>
    <mergeCell ref="E161:E162"/>
    <mergeCell ref="F161:F162"/>
    <mergeCell ref="G161:G162"/>
    <mergeCell ref="H161:H162"/>
    <mergeCell ref="B156:B160"/>
    <mergeCell ref="C156:C160"/>
    <mergeCell ref="D156:D160"/>
    <mergeCell ref="E156:E160"/>
    <mergeCell ref="F156:F158"/>
    <mergeCell ref="G156:G158"/>
    <mergeCell ref="F168:F171"/>
    <mergeCell ref="H144:H145"/>
    <mergeCell ref="F146:F148"/>
    <mergeCell ref="F149:F152"/>
    <mergeCell ref="G149:G152"/>
    <mergeCell ref="H149:H152"/>
    <mergeCell ref="F153:F154"/>
    <mergeCell ref="G153:G154"/>
    <mergeCell ref="H153:H154"/>
    <mergeCell ref="B143:B154"/>
    <mergeCell ref="C143:C154"/>
    <mergeCell ref="D143:D154"/>
    <mergeCell ref="E143:E154"/>
    <mergeCell ref="F144:F145"/>
    <mergeCell ref="G144:G145"/>
    <mergeCell ref="B141:B142"/>
    <mergeCell ref="C141:C142"/>
    <mergeCell ref="D141:D142"/>
    <mergeCell ref="E141:E142"/>
    <mergeCell ref="F141:F142"/>
    <mergeCell ref="G141:G142"/>
    <mergeCell ref="H134:H135"/>
    <mergeCell ref="B137:B140"/>
    <mergeCell ref="C137:C140"/>
    <mergeCell ref="D137:D140"/>
    <mergeCell ref="E137:E140"/>
    <mergeCell ref="F137:F140"/>
    <mergeCell ref="G137:G140"/>
    <mergeCell ref="H137:H140"/>
    <mergeCell ref="B134:B135"/>
    <mergeCell ref="C134:C135"/>
    <mergeCell ref="D134:D135"/>
    <mergeCell ref="E134:E135"/>
    <mergeCell ref="F134:F135"/>
    <mergeCell ref="G134:G135"/>
    <mergeCell ref="B121:B126"/>
    <mergeCell ref="C121:C126"/>
    <mergeCell ref="D121:D126"/>
    <mergeCell ref="E121:E126"/>
    <mergeCell ref="F121:F126"/>
    <mergeCell ref="G121:G126"/>
    <mergeCell ref="H121:H125"/>
    <mergeCell ref="H127:H128"/>
    <mergeCell ref="B129:B133"/>
    <mergeCell ref="C129:C133"/>
    <mergeCell ref="D129:D133"/>
    <mergeCell ref="E129:E133"/>
    <mergeCell ref="F129:F131"/>
    <mergeCell ref="G129:G131"/>
    <mergeCell ref="H129:H131"/>
    <mergeCell ref="F132:F133"/>
    <mergeCell ref="B127:B128"/>
    <mergeCell ref="C127:C128"/>
    <mergeCell ref="D127:D128"/>
    <mergeCell ref="E127:E128"/>
    <mergeCell ref="F127:F128"/>
    <mergeCell ref="G127:G128"/>
    <mergeCell ref="F109:F117"/>
    <mergeCell ref="G109:G117"/>
    <mergeCell ref="H109:H117"/>
    <mergeCell ref="B118:B119"/>
    <mergeCell ref="C118:C119"/>
    <mergeCell ref="D118:D119"/>
    <mergeCell ref="E118:E119"/>
    <mergeCell ref="F118:F119"/>
    <mergeCell ref="B104:B117"/>
    <mergeCell ref="C104:C117"/>
    <mergeCell ref="D104:D117"/>
    <mergeCell ref="E104:E117"/>
    <mergeCell ref="F104:F105"/>
    <mergeCell ref="G104:G105"/>
    <mergeCell ref="G118:G119"/>
    <mergeCell ref="H118:H119"/>
    <mergeCell ref="B101:B102"/>
    <mergeCell ref="C101:C102"/>
    <mergeCell ref="D101:D102"/>
    <mergeCell ref="E101:E102"/>
    <mergeCell ref="F101:F102"/>
    <mergeCell ref="G101:G102"/>
    <mergeCell ref="H101:H102"/>
    <mergeCell ref="H104:H105"/>
    <mergeCell ref="F106:F108"/>
    <mergeCell ref="H78:H81"/>
    <mergeCell ref="F83:F85"/>
    <mergeCell ref="B87:B100"/>
    <mergeCell ref="C87:C100"/>
    <mergeCell ref="D87:D100"/>
    <mergeCell ref="E87:E100"/>
    <mergeCell ref="F87:F88"/>
    <mergeCell ref="G87:G88"/>
    <mergeCell ref="H87:H88"/>
    <mergeCell ref="F89:F91"/>
    <mergeCell ref="B78:B85"/>
    <mergeCell ref="C78:C85"/>
    <mergeCell ref="D78:D85"/>
    <mergeCell ref="E78:E85"/>
    <mergeCell ref="F78:F81"/>
    <mergeCell ref="G78:G81"/>
    <mergeCell ref="F92:F100"/>
    <mergeCell ref="G92:G100"/>
    <mergeCell ref="H92:H100"/>
    <mergeCell ref="F56:F58"/>
    <mergeCell ref="B59:B77"/>
    <mergeCell ref="C59:C77"/>
    <mergeCell ref="D59:D77"/>
    <mergeCell ref="E59:E77"/>
    <mergeCell ref="F59:F77"/>
    <mergeCell ref="G59:G77"/>
    <mergeCell ref="H59:H77"/>
    <mergeCell ref="B52:B58"/>
    <mergeCell ref="C52:C58"/>
    <mergeCell ref="D52:D58"/>
    <mergeCell ref="E52:E58"/>
    <mergeCell ref="F52:F55"/>
    <mergeCell ref="G52:G55"/>
    <mergeCell ref="F46:F47"/>
    <mergeCell ref="B49:B51"/>
    <mergeCell ref="C49:C51"/>
    <mergeCell ref="D49:D51"/>
    <mergeCell ref="E49:E51"/>
    <mergeCell ref="F49:F51"/>
    <mergeCell ref="G49:G51"/>
    <mergeCell ref="H49:H51"/>
    <mergeCell ref="H52:H55"/>
    <mergeCell ref="B35:B36"/>
    <mergeCell ref="C35:C36"/>
    <mergeCell ref="D35:D36"/>
    <mergeCell ref="E35:E36"/>
    <mergeCell ref="F35:F36"/>
    <mergeCell ref="G35:G36"/>
    <mergeCell ref="H35:H36"/>
    <mergeCell ref="H37:H40"/>
    <mergeCell ref="B41:B47"/>
    <mergeCell ref="C41:C47"/>
    <mergeCell ref="D41:D47"/>
    <mergeCell ref="E41:E47"/>
    <mergeCell ref="F41:F42"/>
    <mergeCell ref="G41:G42"/>
    <mergeCell ref="H41:H42"/>
    <mergeCell ref="F43:F45"/>
    <mergeCell ref="G43:G45"/>
    <mergeCell ref="B37:B40"/>
    <mergeCell ref="C37:C40"/>
    <mergeCell ref="D37:D40"/>
    <mergeCell ref="E37:E40"/>
    <mergeCell ref="F37:F40"/>
    <mergeCell ref="G37:G40"/>
    <mergeCell ref="H43:H45"/>
    <mergeCell ref="H19:H20"/>
    <mergeCell ref="B26:B34"/>
    <mergeCell ref="C26:C34"/>
    <mergeCell ref="D26:D34"/>
    <mergeCell ref="E26:E34"/>
    <mergeCell ref="F26:F27"/>
    <mergeCell ref="G26:G27"/>
    <mergeCell ref="H26:H27"/>
    <mergeCell ref="F28:F30"/>
    <mergeCell ref="F31:F34"/>
    <mergeCell ref="B19:B23"/>
    <mergeCell ref="C19:C23"/>
    <mergeCell ref="D19:D23"/>
    <mergeCell ref="E19:E23"/>
    <mergeCell ref="F19:F23"/>
    <mergeCell ref="G19:G20"/>
    <mergeCell ref="G31:G34"/>
    <mergeCell ref="H31:H34"/>
    <mergeCell ref="H14:H16"/>
    <mergeCell ref="B17:B18"/>
    <mergeCell ref="C17:C18"/>
    <mergeCell ref="D17:D18"/>
    <mergeCell ref="E17:E18"/>
    <mergeCell ref="F17:F18"/>
    <mergeCell ref="G17:G18"/>
    <mergeCell ref="H17:H18"/>
    <mergeCell ref="B14:B16"/>
    <mergeCell ref="C14:C16"/>
    <mergeCell ref="D14:D16"/>
    <mergeCell ref="E14:E16"/>
    <mergeCell ref="F14:F16"/>
    <mergeCell ref="G14:G16"/>
    <mergeCell ref="B9:B13"/>
    <mergeCell ref="C9:C13"/>
    <mergeCell ref="D9:D13"/>
    <mergeCell ref="E9:E13"/>
    <mergeCell ref="F9:F13"/>
    <mergeCell ref="G9:G13"/>
    <mergeCell ref="H9:H13"/>
    <mergeCell ref="B7:B8"/>
    <mergeCell ref="C7:C8"/>
    <mergeCell ref="D7:D8"/>
    <mergeCell ref="E7:E8"/>
    <mergeCell ref="F7:F8"/>
    <mergeCell ref="G7:G8"/>
    <mergeCell ref="B4:N4"/>
    <mergeCell ref="B5:B6"/>
    <mergeCell ref="C5:C6"/>
    <mergeCell ref="D5:D6"/>
    <mergeCell ref="E5:E6"/>
    <mergeCell ref="F5:F6"/>
    <mergeCell ref="G5:G6"/>
    <mergeCell ref="H5:H6"/>
    <mergeCell ref="H7:H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11"/>
  <sheetViews>
    <sheetView topLeftCell="A94" zoomScale="80" zoomScaleNormal="80" workbookViewId="0">
      <selection activeCell="D85" sqref="D85"/>
    </sheetView>
  </sheetViews>
  <sheetFormatPr defaultRowHeight="15" x14ac:dyDescent="0.25"/>
  <cols>
    <col min="1" max="1" width="4.7109375" customWidth="1"/>
    <col min="2" max="2" width="13" customWidth="1"/>
    <col min="3" max="3" width="37.85546875" customWidth="1"/>
    <col min="4" max="4" width="54.7109375" customWidth="1"/>
    <col min="5" max="5" width="15.7109375" customWidth="1"/>
    <col min="6" max="6" width="13.5703125" customWidth="1"/>
    <col min="7" max="7" width="21.7109375" customWidth="1"/>
    <col min="8" max="9" width="49.5703125" customWidth="1"/>
  </cols>
  <sheetData>
    <row r="2" spans="2:9" ht="18.75" x14ac:dyDescent="0.25">
      <c r="B2" s="1" t="s">
        <v>2087</v>
      </c>
      <c r="C2" s="1"/>
    </row>
    <row r="3" spans="2:9" ht="21" x14ac:dyDescent="0.35">
      <c r="B3" s="227" t="s">
        <v>2081</v>
      </c>
      <c r="C3" s="227"/>
      <c r="D3" s="232"/>
    </row>
    <row r="4" spans="2:9" ht="21" x14ac:dyDescent="0.35">
      <c r="B4" s="227" t="s">
        <v>2116</v>
      </c>
      <c r="C4" s="228"/>
      <c r="D4" s="229"/>
    </row>
    <row r="5" spans="2:9" ht="24" x14ac:dyDescent="0.25">
      <c r="B5" s="217" t="s">
        <v>3</v>
      </c>
      <c r="C5" s="217" t="s">
        <v>4</v>
      </c>
      <c r="D5" s="217" t="s">
        <v>1</v>
      </c>
      <c r="E5" s="217" t="s">
        <v>49</v>
      </c>
      <c r="F5" s="217" t="s">
        <v>50</v>
      </c>
      <c r="G5" s="217" t="s">
        <v>2</v>
      </c>
      <c r="H5" s="217" t="s">
        <v>51</v>
      </c>
      <c r="I5" s="217"/>
    </row>
    <row r="6" spans="2:9" x14ac:dyDescent="0.25">
      <c r="B6" s="324" t="s">
        <v>2095</v>
      </c>
      <c r="C6" s="325"/>
      <c r="D6" s="325"/>
      <c r="E6" s="325"/>
      <c r="F6" s="325"/>
      <c r="G6" s="325"/>
      <c r="H6" s="325"/>
      <c r="I6" s="325"/>
    </row>
    <row r="7" spans="2:9" x14ac:dyDescent="0.25">
      <c r="B7" s="326" t="s">
        <v>2052</v>
      </c>
      <c r="C7" s="327"/>
      <c r="D7" s="327"/>
      <c r="E7" s="230"/>
      <c r="F7" s="331"/>
      <c r="G7" s="332"/>
      <c r="H7" s="231"/>
      <c r="I7" s="231"/>
    </row>
    <row r="8" spans="2:9" x14ac:dyDescent="0.25">
      <c r="B8" s="224">
        <v>1</v>
      </c>
      <c r="C8" s="225"/>
      <c r="D8" s="223" t="s">
        <v>2054</v>
      </c>
      <c r="E8" s="226" t="s">
        <v>5</v>
      </c>
      <c r="F8" s="226" t="s">
        <v>19</v>
      </c>
      <c r="G8" s="224" t="s">
        <v>2096</v>
      </c>
      <c r="H8" s="223"/>
      <c r="I8" s="225"/>
    </row>
    <row r="9" spans="2:9" x14ac:dyDescent="0.25">
      <c r="B9" s="247">
        <v>2</v>
      </c>
      <c r="C9" s="219" t="s">
        <v>43</v>
      </c>
      <c r="D9" s="204" t="s">
        <v>46</v>
      </c>
      <c r="E9" s="203" t="s">
        <v>5</v>
      </c>
      <c r="F9" s="203" t="s">
        <v>74</v>
      </c>
      <c r="G9" s="203" t="s">
        <v>75</v>
      </c>
      <c r="H9" s="214" t="s">
        <v>76</v>
      </c>
      <c r="I9" s="205"/>
    </row>
    <row r="10" spans="2:9" x14ac:dyDescent="0.25">
      <c r="B10" s="247">
        <v>3</v>
      </c>
      <c r="C10" s="219" t="s">
        <v>10</v>
      </c>
      <c r="D10" s="191" t="s">
        <v>7</v>
      </c>
      <c r="E10" s="203" t="s">
        <v>5</v>
      </c>
      <c r="F10" s="203" t="s">
        <v>8</v>
      </c>
      <c r="G10" s="203" t="s">
        <v>9</v>
      </c>
      <c r="H10" s="214" t="s">
        <v>89</v>
      </c>
      <c r="I10" s="205"/>
    </row>
    <row r="11" spans="2:9" x14ac:dyDescent="0.25">
      <c r="B11" s="247">
        <v>4</v>
      </c>
      <c r="C11" s="219" t="s">
        <v>14</v>
      </c>
      <c r="D11" s="191" t="s">
        <v>11</v>
      </c>
      <c r="E11" s="203" t="s">
        <v>5</v>
      </c>
      <c r="F11" s="203" t="s">
        <v>37</v>
      </c>
      <c r="G11" s="203" t="s">
        <v>13</v>
      </c>
      <c r="H11" s="214" t="s">
        <v>98</v>
      </c>
      <c r="I11" s="205"/>
    </row>
    <row r="12" spans="2:9" x14ac:dyDescent="0.25">
      <c r="B12" s="247">
        <v>5</v>
      </c>
      <c r="C12" s="219" t="s">
        <v>44</v>
      </c>
      <c r="D12" s="218" t="s">
        <v>102</v>
      </c>
      <c r="E12" s="203" t="s">
        <v>5</v>
      </c>
      <c r="F12" s="203" t="s">
        <v>30</v>
      </c>
      <c r="G12" s="203" t="s">
        <v>969</v>
      </c>
      <c r="H12" s="214" t="s">
        <v>104</v>
      </c>
      <c r="I12" s="205"/>
    </row>
    <row r="13" spans="2:9" x14ac:dyDescent="0.25">
      <c r="B13" s="247">
        <v>6</v>
      </c>
      <c r="C13" s="219" t="s">
        <v>1198</v>
      </c>
      <c r="D13" s="218" t="s">
        <v>121</v>
      </c>
      <c r="E13" s="203" t="s">
        <v>15</v>
      </c>
      <c r="F13" s="203" t="s">
        <v>36</v>
      </c>
      <c r="G13" s="203"/>
      <c r="H13" s="214" t="s">
        <v>122</v>
      </c>
      <c r="I13" s="205"/>
    </row>
    <row r="14" spans="2:9" x14ac:dyDescent="0.25">
      <c r="B14" s="326" t="s">
        <v>125</v>
      </c>
      <c r="C14" s="327"/>
      <c r="D14" s="327"/>
      <c r="E14" s="209"/>
      <c r="F14" s="209"/>
      <c r="G14" s="209"/>
      <c r="H14" s="209"/>
      <c r="I14" s="209"/>
    </row>
    <row r="15" spans="2:9" ht="24" x14ac:dyDescent="0.25">
      <c r="B15" s="247">
        <v>7</v>
      </c>
      <c r="C15" s="222" t="s">
        <v>5536</v>
      </c>
      <c r="D15" s="204" t="s">
        <v>1220</v>
      </c>
      <c r="E15" s="210" t="s">
        <v>5</v>
      </c>
      <c r="F15" s="210" t="s">
        <v>17</v>
      </c>
      <c r="G15" s="210" t="s">
        <v>127</v>
      </c>
      <c r="H15" s="27" t="s">
        <v>973</v>
      </c>
      <c r="I15" s="205"/>
    </row>
    <row r="16" spans="2:9" ht="24" x14ac:dyDescent="0.25">
      <c r="B16" s="247">
        <v>8</v>
      </c>
      <c r="C16" s="222" t="s">
        <v>5537</v>
      </c>
      <c r="D16" s="204" t="s">
        <v>1221</v>
      </c>
      <c r="E16" s="210" t="s">
        <v>5</v>
      </c>
      <c r="F16" s="210" t="s">
        <v>143</v>
      </c>
      <c r="G16" s="210" t="s">
        <v>144</v>
      </c>
      <c r="H16" s="27" t="s">
        <v>975</v>
      </c>
      <c r="I16" s="205"/>
    </row>
    <row r="17" spans="2:9" ht="24" x14ac:dyDescent="0.25">
      <c r="B17" s="247">
        <v>9</v>
      </c>
      <c r="C17" s="222" t="s">
        <v>5538</v>
      </c>
      <c r="D17" s="204" t="s">
        <v>156</v>
      </c>
      <c r="E17" s="210" t="s">
        <v>5</v>
      </c>
      <c r="F17" s="210" t="s">
        <v>36</v>
      </c>
      <c r="G17" s="210"/>
      <c r="H17" s="214" t="s">
        <v>157</v>
      </c>
      <c r="I17" s="205"/>
    </row>
    <row r="18" spans="2:9" x14ac:dyDescent="0.25">
      <c r="B18" s="326" t="s">
        <v>271</v>
      </c>
      <c r="C18" s="327"/>
      <c r="D18" s="327"/>
      <c r="E18" s="209"/>
      <c r="F18" s="209"/>
      <c r="G18" s="209"/>
      <c r="H18" s="209"/>
      <c r="I18" s="209"/>
    </row>
    <row r="19" spans="2:9" ht="24" x14ac:dyDescent="0.25">
      <c r="B19" s="247">
        <v>10</v>
      </c>
      <c r="C19" s="222" t="s">
        <v>1202</v>
      </c>
      <c r="D19" s="204" t="s">
        <v>1972</v>
      </c>
      <c r="E19" s="203" t="s">
        <v>5</v>
      </c>
      <c r="F19" s="203" t="s">
        <v>17</v>
      </c>
      <c r="G19" s="203" t="s">
        <v>273</v>
      </c>
      <c r="H19" s="214" t="s">
        <v>274</v>
      </c>
      <c r="I19" s="205"/>
    </row>
    <row r="20" spans="2:9" ht="24" x14ac:dyDescent="0.25">
      <c r="B20" s="247">
        <v>11</v>
      </c>
      <c r="C20" s="222" t="s">
        <v>1203</v>
      </c>
      <c r="D20" s="204" t="s">
        <v>1973</v>
      </c>
      <c r="E20" s="203" t="s">
        <v>5</v>
      </c>
      <c r="F20" s="203" t="s">
        <v>18</v>
      </c>
      <c r="G20" s="219"/>
      <c r="H20" s="214" t="s">
        <v>282</v>
      </c>
      <c r="I20" s="205"/>
    </row>
    <row r="21" spans="2:9" ht="24" x14ac:dyDescent="0.25">
      <c r="B21" s="247">
        <v>12</v>
      </c>
      <c r="C21" s="222" t="s">
        <v>1204</v>
      </c>
      <c r="D21" s="204" t="s">
        <v>304</v>
      </c>
      <c r="E21" s="203" t="s">
        <v>5</v>
      </c>
      <c r="F21" s="203" t="s">
        <v>36</v>
      </c>
      <c r="G21" s="219"/>
      <c r="H21" s="214" t="s">
        <v>305</v>
      </c>
      <c r="I21" s="205"/>
    </row>
    <row r="22" spans="2:9" x14ac:dyDescent="0.25">
      <c r="B22" s="326" t="s">
        <v>1152</v>
      </c>
      <c r="C22" s="327"/>
      <c r="D22" s="327"/>
      <c r="E22" s="209"/>
      <c r="F22" s="209"/>
      <c r="G22" s="209"/>
      <c r="H22" s="209"/>
      <c r="I22" s="209"/>
    </row>
    <row r="23" spans="2:9" ht="39" customHeight="1" x14ac:dyDescent="0.25">
      <c r="B23" s="247">
        <v>13</v>
      </c>
      <c r="C23" s="222" t="s">
        <v>5517</v>
      </c>
      <c r="D23" s="204" t="s">
        <v>2091</v>
      </c>
      <c r="E23" s="243" t="s">
        <v>15</v>
      </c>
      <c r="F23" s="203" t="s">
        <v>17</v>
      </c>
      <c r="G23" s="203" t="s">
        <v>127</v>
      </c>
      <c r="H23" s="214" t="s">
        <v>2090</v>
      </c>
      <c r="I23" s="205"/>
    </row>
    <row r="24" spans="2:9" ht="24" x14ac:dyDescent="0.25">
      <c r="B24" s="247">
        <v>14</v>
      </c>
      <c r="C24" s="222" t="s">
        <v>5518</v>
      </c>
      <c r="D24" s="204" t="s">
        <v>2093</v>
      </c>
      <c r="E24" s="243" t="s">
        <v>15</v>
      </c>
      <c r="F24" s="203" t="s">
        <v>143</v>
      </c>
      <c r="G24" s="219"/>
      <c r="H24" s="214" t="s">
        <v>2092</v>
      </c>
      <c r="I24" s="205"/>
    </row>
    <row r="25" spans="2:9" ht="27" customHeight="1" x14ac:dyDescent="0.25">
      <c r="B25" s="247">
        <v>15</v>
      </c>
      <c r="C25" s="222" t="s">
        <v>5519</v>
      </c>
      <c r="D25" s="204" t="s">
        <v>1168</v>
      </c>
      <c r="E25" s="243" t="s">
        <v>15</v>
      </c>
      <c r="F25" s="203" t="s">
        <v>36</v>
      </c>
      <c r="G25" s="219"/>
      <c r="H25" s="214" t="s">
        <v>1169</v>
      </c>
      <c r="I25" s="205"/>
    </row>
    <row r="26" spans="2:9" x14ac:dyDescent="0.25">
      <c r="B26" s="326" t="s">
        <v>2094</v>
      </c>
      <c r="C26" s="327"/>
      <c r="D26" s="327"/>
      <c r="E26" s="209"/>
      <c r="F26" s="209"/>
      <c r="G26" s="209"/>
      <c r="H26" s="209"/>
      <c r="I26" s="209"/>
    </row>
    <row r="27" spans="2:9" ht="24" x14ac:dyDescent="0.25">
      <c r="B27" s="247">
        <v>16</v>
      </c>
      <c r="C27" s="222" t="s">
        <v>5520</v>
      </c>
      <c r="D27" s="204" t="s">
        <v>2098</v>
      </c>
      <c r="E27" s="243" t="s">
        <v>15</v>
      </c>
      <c r="F27" s="203" t="s">
        <v>17</v>
      </c>
      <c r="G27" s="203" t="s">
        <v>273</v>
      </c>
      <c r="H27" s="214" t="s">
        <v>2099</v>
      </c>
      <c r="I27" s="205"/>
    </row>
    <row r="28" spans="2:9" ht="24" x14ac:dyDescent="0.25">
      <c r="B28" s="247">
        <v>17</v>
      </c>
      <c r="C28" s="222" t="s">
        <v>5521</v>
      </c>
      <c r="D28" s="204" t="s">
        <v>2097</v>
      </c>
      <c r="E28" s="243" t="s">
        <v>15</v>
      </c>
      <c r="F28" s="203" t="s">
        <v>18</v>
      </c>
      <c r="G28" s="219"/>
      <c r="H28" s="214" t="s">
        <v>2100</v>
      </c>
      <c r="I28" s="205"/>
    </row>
    <row r="29" spans="2:9" ht="24" x14ac:dyDescent="0.25">
      <c r="B29" s="247">
        <v>18</v>
      </c>
      <c r="C29" s="222" t="s">
        <v>5522</v>
      </c>
      <c r="D29" s="204" t="s">
        <v>1191</v>
      </c>
      <c r="E29" s="243" t="s">
        <v>15</v>
      </c>
      <c r="F29" s="203" t="s">
        <v>36</v>
      </c>
      <c r="G29" s="219"/>
      <c r="H29" s="214" t="s">
        <v>1192</v>
      </c>
      <c r="I29" s="205"/>
    </row>
    <row r="30" spans="2:9" x14ac:dyDescent="0.25">
      <c r="B30" s="205"/>
      <c r="C30" s="205"/>
      <c r="D30" s="205"/>
      <c r="E30" s="205"/>
      <c r="F30" s="205"/>
      <c r="G30" s="205"/>
      <c r="H30" s="205"/>
      <c r="I30" s="205"/>
    </row>
    <row r="31" spans="2:9" x14ac:dyDescent="0.25">
      <c r="B31" s="324" t="s">
        <v>2101</v>
      </c>
      <c r="C31" s="325"/>
      <c r="D31" s="325"/>
      <c r="E31" s="325"/>
      <c r="F31" s="325"/>
      <c r="G31" s="325"/>
      <c r="H31" s="325"/>
      <c r="I31" s="325"/>
    </row>
    <row r="32" spans="2:9" x14ac:dyDescent="0.25">
      <c r="B32" s="326" t="s">
        <v>1128</v>
      </c>
      <c r="C32" s="327"/>
      <c r="D32" s="327"/>
      <c r="E32" s="209"/>
      <c r="F32" s="209"/>
      <c r="G32" s="209"/>
      <c r="H32" s="209"/>
      <c r="I32" s="209"/>
    </row>
    <row r="33" spans="2:9" x14ac:dyDescent="0.25">
      <c r="B33" s="224">
        <v>1</v>
      </c>
      <c r="C33" s="225"/>
      <c r="D33" s="223" t="s">
        <v>2054</v>
      </c>
      <c r="E33" s="226" t="s">
        <v>5</v>
      </c>
      <c r="F33" s="226" t="s">
        <v>19</v>
      </c>
      <c r="G33" s="224" t="s">
        <v>2105</v>
      </c>
      <c r="H33" s="223"/>
      <c r="I33" s="225"/>
    </row>
    <row r="34" spans="2:9" ht="24" x14ac:dyDescent="0.25">
      <c r="B34" s="247">
        <v>2</v>
      </c>
      <c r="C34" s="222" t="s">
        <v>1990</v>
      </c>
      <c r="D34" s="221" t="s">
        <v>480</v>
      </c>
      <c r="E34" s="203" t="s">
        <v>5</v>
      </c>
      <c r="F34" s="203" t="s">
        <v>8</v>
      </c>
      <c r="G34" s="203" t="s">
        <v>9</v>
      </c>
      <c r="H34" s="214" t="s">
        <v>481</v>
      </c>
      <c r="I34" s="205"/>
    </row>
    <row r="35" spans="2:9" ht="30.75" customHeight="1" x14ac:dyDescent="0.25">
      <c r="B35" s="247">
        <v>3</v>
      </c>
      <c r="C35" s="222" t="s">
        <v>2111</v>
      </c>
      <c r="D35" s="204" t="s">
        <v>2106</v>
      </c>
      <c r="E35" s="243" t="s">
        <v>15</v>
      </c>
      <c r="F35" s="203" t="s">
        <v>26</v>
      </c>
      <c r="G35" s="203"/>
      <c r="H35" s="214" t="s">
        <v>867</v>
      </c>
      <c r="I35" s="205"/>
    </row>
    <row r="36" spans="2:9" x14ac:dyDescent="0.25">
      <c r="B36" s="247">
        <v>4</v>
      </c>
      <c r="C36" s="222" t="s">
        <v>2107</v>
      </c>
      <c r="D36" s="204" t="s">
        <v>1980</v>
      </c>
      <c r="E36" s="203" t="s">
        <v>5</v>
      </c>
      <c r="F36" s="203" t="s">
        <v>413</v>
      </c>
      <c r="G36" s="243" t="s">
        <v>414</v>
      </c>
      <c r="H36" s="214" t="s">
        <v>434</v>
      </c>
      <c r="I36" s="205"/>
    </row>
    <row r="37" spans="2:9" ht="24" x14ac:dyDescent="0.25">
      <c r="B37" s="247">
        <v>5</v>
      </c>
      <c r="C37" s="222" t="s">
        <v>2108</v>
      </c>
      <c r="D37" s="204" t="s">
        <v>1981</v>
      </c>
      <c r="E37" s="203" t="s">
        <v>5</v>
      </c>
      <c r="F37" s="203" t="s">
        <v>19</v>
      </c>
      <c r="G37" s="244" t="s">
        <v>2110</v>
      </c>
      <c r="H37" s="214" t="s">
        <v>438</v>
      </c>
      <c r="I37" s="205"/>
    </row>
    <row r="38" spans="2:9" ht="24" x14ac:dyDescent="0.25">
      <c r="B38" s="247">
        <v>6</v>
      </c>
      <c r="C38" s="214" t="s">
        <v>2112</v>
      </c>
      <c r="D38" s="204" t="s">
        <v>1139</v>
      </c>
      <c r="E38" s="180" t="s">
        <v>15</v>
      </c>
      <c r="F38" s="203" t="s">
        <v>1140</v>
      </c>
      <c r="G38" s="179" t="s">
        <v>1141</v>
      </c>
      <c r="H38" s="214" t="s">
        <v>502</v>
      </c>
      <c r="I38" s="205"/>
    </row>
    <row r="39" spans="2:9" ht="36" x14ac:dyDescent="0.25">
      <c r="B39" s="247">
        <v>7</v>
      </c>
      <c r="C39" s="214" t="s">
        <v>2115</v>
      </c>
      <c r="D39" s="204" t="s">
        <v>510</v>
      </c>
      <c r="E39" s="203" t="s">
        <v>15</v>
      </c>
      <c r="F39" s="203" t="s">
        <v>1140</v>
      </c>
      <c r="G39" s="203" t="s">
        <v>511</v>
      </c>
      <c r="H39" s="214" t="s">
        <v>502</v>
      </c>
      <c r="I39" s="205"/>
    </row>
    <row r="40" spans="2:9" ht="24" x14ac:dyDescent="0.25">
      <c r="B40" s="247">
        <v>8</v>
      </c>
      <c r="C40" s="176" t="s">
        <v>1993</v>
      </c>
      <c r="D40" s="185" t="s">
        <v>513</v>
      </c>
      <c r="E40" s="203" t="s">
        <v>15</v>
      </c>
      <c r="F40" s="203" t="s">
        <v>1140</v>
      </c>
      <c r="G40" s="179" t="s">
        <v>514</v>
      </c>
      <c r="H40" s="214" t="s">
        <v>502</v>
      </c>
      <c r="I40" s="205"/>
    </row>
    <row r="41" spans="2:9" ht="24" x14ac:dyDescent="0.25">
      <c r="B41" s="247">
        <v>9</v>
      </c>
      <c r="C41" s="182" t="s">
        <v>1991</v>
      </c>
      <c r="D41" s="189" t="s">
        <v>500</v>
      </c>
      <c r="E41" s="203" t="s">
        <v>15</v>
      </c>
      <c r="F41" s="203" t="s">
        <v>1140</v>
      </c>
      <c r="G41" s="175" t="s">
        <v>501</v>
      </c>
      <c r="H41" s="214" t="s">
        <v>502</v>
      </c>
      <c r="I41" s="205"/>
    </row>
    <row r="42" spans="2:9" ht="24" x14ac:dyDescent="0.25">
      <c r="B42" s="247">
        <v>10</v>
      </c>
      <c r="C42" s="176" t="s">
        <v>2114</v>
      </c>
      <c r="D42" s="185" t="s">
        <v>1144</v>
      </c>
      <c r="E42" s="203" t="s">
        <v>15</v>
      </c>
      <c r="F42" s="203" t="s">
        <v>1140</v>
      </c>
      <c r="G42" s="179" t="s">
        <v>1145</v>
      </c>
      <c r="H42" s="214" t="s">
        <v>502</v>
      </c>
      <c r="I42" s="205"/>
    </row>
    <row r="43" spans="2:9" ht="84" x14ac:dyDescent="0.25">
      <c r="B43" s="247">
        <v>11</v>
      </c>
      <c r="C43" s="183" t="s">
        <v>2113</v>
      </c>
      <c r="D43" s="200" t="s">
        <v>1147</v>
      </c>
      <c r="E43" s="203" t="s">
        <v>15</v>
      </c>
      <c r="F43" s="203" t="s">
        <v>1140</v>
      </c>
      <c r="G43" s="203" t="s">
        <v>1148</v>
      </c>
      <c r="H43" s="214" t="s">
        <v>502</v>
      </c>
      <c r="I43" s="205"/>
    </row>
    <row r="44" spans="2:9" ht="48" x14ac:dyDescent="0.25">
      <c r="B44" s="247">
        <v>12</v>
      </c>
      <c r="C44" s="222" t="s">
        <v>2109</v>
      </c>
      <c r="D44" s="200" t="s">
        <v>530</v>
      </c>
      <c r="E44" s="203" t="s">
        <v>15</v>
      </c>
      <c r="F44" s="203" t="s">
        <v>17</v>
      </c>
      <c r="G44" s="203" t="s">
        <v>531</v>
      </c>
      <c r="H44" s="214" t="s">
        <v>532</v>
      </c>
      <c r="I44" s="205"/>
    </row>
    <row r="45" spans="2:9" x14ac:dyDescent="0.25">
      <c r="B45" s="205"/>
      <c r="C45" s="220"/>
      <c r="D45" s="183"/>
      <c r="E45" s="205"/>
      <c r="F45" s="205"/>
      <c r="G45" s="205"/>
      <c r="H45" s="206"/>
      <c r="I45" s="205"/>
    </row>
    <row r="46" spans="2:9" x14ac:dyDescent="0.25">
      <c r="B46" s="324" t="s">
        <v>2102</v>
      </c>
      <c r="C46" s="325"/>
      <c r="D46" s="325"/>
      <c r="E46" s="325"/>
      <c r="F46" s="325"/>
      <c r="G46" s="325"/>
      <c r="H46" s="325"/>
      <c r="I46" s="325"/>
    </row>
    <row r="47" spans="2:9" x14ac:dyDescent="0.25">
      <c r="B47" s="326" t="s">
        <v>535</v>
      </c>
      <c r="C47" s="327"/>
      <c r="D47" s="327"/>
      <c r="E47" s="209"/>
      <c r="F47" s="209"/>
      <c r="G47" s="209"/>
      <c r="H47" s="213"/>
      <c r="I47" s="209"/>
    </row>
    <row r="48" spans="2:9" x14ac:dyDescent="0.25">
      <c r="B48" s="224">
        <v>1</v>
      </c>
      <c r="C48" s="225"/>
      <c r="D48" s="223" t="s">
        <v>2054</v>
      </c>
      <c r="E48" s="226" t="s">
        <v>5</v>
      </c>
      <c r="F48" s="226" t="s">
        <v>19</v>
      </c>
      <c r="G48" s="224" t="s">
        <v>2103</v>
      </c>
      <c r="H48" s="223"/>
      <c r="I48" s="225"/>
    </row>
    <row r="49" spans="2:9" ht="24" x14ac:dyDescent="0.25">
      <c r="B49" s="247">
        <v>2</v>
      </c>
      <c r="C49" s="222" t="s">
        <v>1212</v>
      </c>
      <c r="D49" s="200" t="s">
        <v>1998</v>
      </c>
      <c r="E49" s="203" t="s">
        <v>15</v>
      </c>
      <c r="F49" s="203" t="s">
        <v>17</v>
      </c>
      <c r="G49" s="203" t="s">
        <v>127</v>
      </c>
      <c r="H49" s="214" t="s">
        <v>1997</v>
      </c>
      <c r="I49" s="205"/>
    </row>
    <row r="50" spans="2:9" ht="24" x14ac:dyDescent="0.25">
      <c r="B50" s="247">
        <v>3</v>
      </c>
      <c r="C50" s="222" t="s">
        <v>1213</v>
      </c>
      <c r="D50" s="200" t="s">
        <v>2000</v>
      </c>
      <c r="E50" s="203" t="s">
        <v>15</v>
      </c>
      <c r="F50" s="203" t="s">
        <v>143</v>
      </c>
      <c r="G50" s="203" t="s">
        <v>144</v>
      </c>
      <c r="H50" s="214" t="s">
        <v>1999</v>
      </c>
      <c r="I50" s="205"/>
    </row>
    <row r="51" spans="2:9" ht="24" x14ac:dyDescent="0.25">
      <c r="B51" s="247">
        <v>4</v>
      </c>
      <c r="C51" s="222" t="s">
        <v>1214</v>
      </c>
      <c r="D51" s="200" t="s">
        <v>558</v>
      </c>
      <c r="E51" s="203" t="s">
        <v>15</v>
      </c>
      <c r="F51" s="203" t="s">
        <v>36</v>
      </c>
      <c r="G51" s="203"/>
      <c r="H51" s="214" t="s">
        <v>559</v>
      </c>
      <c r="I51" s="205"/>
    </row>
    <row r="52" spans="2:9" ht="24" x14ac:dyDescent="0.25">
      <c r="B52" s="247">
        <v>5</v>
      </c>
      <c r="C52" s="222" t="s">
        <v>2039</v>
      </c>
      <c r="D52" s="200" t="s">
        <v>564</v>
      </c>
      <c r="E52" s="203" t="s">
        <v>15</v>
      </c>
      <c r="F52" s="203" t="s">
        <v>33</v>
      </c>
      <c r="G52" s="203"/>
      <c r="H52" s="214" t="s">
        <v>982</v>
      </c>
      <c r="I52" s="205"/>
    </row>
    <row r="53" spans="2:9" ht="48" x14ac:dyDescent="0.25">
      <c r="B53" s="247">
        <v>6</v>
      </c>
      <c r="C53" s="222" t="s">
        <v>2040</v>
      </c>
      <c r="D53" s="200" t="s">
        <v>2003</v>
      </c>
      <c r="E53" s="203" t="s">
        <v>15</v>
      </c>
      <c r="F53" s="203" t="s">
        <v>162</v>
      </c>
      <c r="G53" s="203"/>
      <c r="H53" s="214" t="s">
        <v>2001</v>
      </c>
      <c r="I53" s="205"/>
    </row>
    <row r="54" spans="2:9" ht="48" x14ac:dyDescent="0.25">
      <c r="B54" s="247">
        <v>7</v>
      </c>
      <c r="C54" s="187" t="s">
        <v>2041</v>
      </c>
      <c r="D54" s="242" t="s">
        <v>2004</v>
      </c>
      <c r="E54" s="203" t="s">
        <v>15</v>
      </c>
      <c r="F54" s="203" t="s">
        <v>30</v>
      </c>
      <c r="G54" s="203" t="s">
        <v>168</v>
      </c>
      <c r="H54" s="214" t="s">
        <v>2002</v>
      </c>
      <c r="I54" s="205"/>
    </row>
    <row r="55" spans="2:9" x14ac:dyDescent="0.25">
      <c r="B55" s="205"/>
      <c r="C55" s="220"/>
      <c r="D55" s="183"/>
      <c r="E55" s="205"/>
      <c r="F55" s="205"/>
      <c r="G55" s="205"/>
      <c r="H55" s="206"/>
      <c r="I55" s="205"/>
    </row>
    <row r="56" spans="2:9" x14ac:dyDescent="0.25">
      <c r="B56" s="324" t="s">
        <v>2082</v>
      </c>
      <c r="C56" s="325"/>
      <c r="D56" s="325"/>
      <c r="E56" s="325"/>
      <c r="F56" s="325"/>
      <c r="G56" s="325"/>
      <c r="H56" s="325"/>
      <c r="I56" s="325"/>
    </row>
    <row r="57" spans="2:9" x14ac:dyDescent="0.25">
      <c r="B57" s="326" t="s">
        <v>583</v>
      </c>
      <c r="C57" s="327"/>
      <c r="D57" s="327"/>
      <c r="E57" s="209"/>
      <c r="F57" s="209"/>
      <c r="G57" s="209"/>
      <c r="H57" s="236" t="s">
        <v>2023</v>
      </c>
      <c r="I57" s="236" t="s">
        <v>2022</v>
      </c>
    </row>
    <row r="58" spans="2:9" x14ac:dyDescent="0.25">
      <c r="B58" s="326" t="s">
        <v>2007</v>
      </c>
      <c r="C58" s="327"/>
      <c r="D58" s="327"/>
      <c r="E58" s="209"/>
      <c r="F58" s="209"/>
      <c r="G58" s="209"/>
      <c r="H58" s="236"/>
      <c r="I58" s="236"/>
    </row>
    <row r="59" spans="2:9" x14ac:dyDescent="0.25">
      <c r="B59" s="224">
        <v>1</v>
      </c>
      <c r="C59" s="225"/>
      <c r="D59" s="223" t="s">
        <v>2054</v>
      </c>
      <c r="E59" s="226" t="s">
        <v>5</v>
      </c>
      <c r="F59" s="226" t="s">
        <v>19</v>
      </c>
      <c r="G59" s="224" t="s">
        <v>2070</v>
      </c>
      <c r="H59" s="223"/>
      <c r="I59" s="225"/>
    </row>
    <row r="60" spans="2:9" ht="24" x14ac:dyDescent="0.25">
      <c r="B60" s="224">
        <v>2</v>
      </c>
      <c r="C60" s="239" t="s">
        <v>2078</v>
      </c>
      <c r="D60" s="237" t="s">
        <v>2080</v>
      </c>
      <c r="E60" s="226"/>
      <c r="F60" s="226"/>
      <c r="G60" s="241" t="s">
        <v>2072</v>
      </c>
      <c r="H60" s="223"/>
      <c r="I60" s="225"/>
    </row>
    <row r="61" spans="2:9" ht="36" x14ac:dyDescent="0.25">
      <c r="B61" s="247">
        <v>3</v>
      </c>
      <c r="C61" s="183" t="s">
        <v>2037</v>
      </c>
      <c r="D61" s="200" t="s">
        <v>584</v>
      </c>
      <c r="E61" s="203" t="s">
        <v>15</v>
      </c>
      <c r="F61" s="203" t="s">
        <v>25</v>
      </c>
      <c r="G61" s="203"/>
      <c r="H61" s="214" t="s">
        <v>585</v>
      </c>
      <c r="I61" s="214" t="s">
        <v>618</v>
      </c>
    </row>
    <row r="62" spans="2:9" ht="36" x14ac:dyDescent="0.25">
      <c r="B62" s="247">
        <v>4</v>
      </c>
      <c r="C62" s="183" t="s">
        <v>2042</v>
      </c>
      <c r="D62" s="200" t="s">
        <v>596</v>
      </c>
      <c r="E62" s="203" t="s">
        <v>15</v>
      </c>
      <c r="F62" s="203" t="s">
        <v>18</v>
      </c>
      <c r="G62" s="203"/>
      <c r="H62" s="214" t="s">
        <v>597</v>
      </c>
      <c r="I62" s="214" t="s">
        <v>2013</v>
      </c>
    </row>
    <row r="63" spans="2:9" ht="48" x14ac:dyDescent="0.25">
      <c r="B63" s="247">
        <v>5</v>
      </c>
      <c r="C63" s="183" t="s">
        <v>2043</v>
      </c>
      <c r="D63" s="200" t="s">
        <v>2010</v>
      </c>
      <c r="E63" s="203" t="s">
        <v>15</v>
      </c>
      <c r="F63" s="203" t="s">
        <v>162</v>
      </c>
      <c r="G63" s="203"/>
      <c r="H63" s="214" t="s">
        <v>2009</v>
      </c>
      <c r="I63" s="214" t="s">
        <v>2014</v>
      </c>
    </row>
    <row r="64" spans="2:9" ht="48" x14ac:dyDescent="0.25">
      <c r="B64" s="247">
        <v>6</v>
      </c>
      <c r="C64" s="183" t="s">
        <v>2038</v>
      </c>
      <c r="D64" s="200" t="s">
        <v>2012</v>
      </c>
      <c r="E64" s="203" t="s">
        <v>15</v>
      </c>
      <c r="F64" s="203" t="s">
        <v>30</v>
      </c>
      <c r="G64" s="203" t="s">
        <v>168</v>
      </c>
      <c r="H64" s="214" t="s">
        <v>2011</v>
      </c>
      <c r="I64" s="214" t="s">
        <v>2015</v>
      </c>
    </row>
    <row r="65" spans="2:9" x14ac:dyDescent="0.25">
      <c r="B65" s="205"/>
      <c r="C65" s="220"/>
      <c r="D65" s="183"/>
      <c r="E65" s="205"/>
      <c r="F65" s="205"/>
      <c r="G65" s="205"/>
      <c r="H65" s="206"/>
      <c r="I65" s="205"/>
    </row>
    <row r="66" spans="2:9" x14ac:dyDescent="0.25">
      <c r="B66" s="324" t="s">
        <v>2083</v>
      </c>
      <c r="C66" s="325"/>
      <c r="D66" s="325"/>
      <c r="E66" s="325"/>
      <c r="F66" s="325"/>
      <c r="G66" s="325"/>
      <c r="H66" s="325"/>
      <c r="I66" s="325"/>
    </row>
    <row r="67" spans="2:9" x14ac:dyDescent="0.25">
      <c r="B67" s="326" t="s">
        <v>630</v>
      </c>
      <c r="C67" s="327"/>
      <c r="D67" s="327"/>
      <c r="E67" s="209"/>
      <c r="F67" s="209"/>
      <c r="G67" s="209"/>
      <c r="H67" s="213"/>
      <c r="I67" s="209"/>
    </row>
    <row r="68" spans="2:9" x14ac:dyDescent="0.25">
      <c r="B68" s="326" t="s">
        <v>2008</v>
      </c>
      <c r="C68" s="327"/>
      <c r="D68" s="327"/>
      <c r="E68" s="209"/>
      <c r="F68" s="209"/>
      <c r="G68" s="209"/>
      <c r="H68" s="236" t="s">
        <v>2023</v>
      </c>
      <c r="I68" s="236" t="s">
        <v>2022</v>
      </c>
    </row>
    <row r="69" spans="2:9" x14ac:dyDescent="0.25">
      <c r="B69" s="224">
        <v>1</v>
      </c>
      <c r="C69" s="225"/>
      <c r="D69" s="223" t="s">
        <v>2054</v>
      </c>
      <c r="E69" s="226" t="s">
        <v>5</v>
      </c>
      <c r="F69" s="226" t="s">
        <v>19</v>
      </c>
      <c r="G69" s="224" t="s">
        <v>1623</v>
      </c>
      <c r="H69" s="223"/>
      <c r="I69" s="225"/>
    </row>
    <row r="70" spans="2:9" ht="24" x14ac:dyDescent="0.25">
      <c r="B70" s="247">
        <v>2</v>
      </c>
      <c r="C70" s="183" t="s">
        <v>2073</v>
      </c>
      <c r="D70" s="200" t="s">
        <v>631</v>
      </c>
      <c r="E70" s="210" t="s">
        <v>15</v>
      </c>
      <c r="F70" s="210" t="s">
        <v>632</v>
      </c>
      <c r="G70" s="210" t="s">
        <v>2072</v>
      </c>
      <c r="H70" s="206" t="s">
        <v>634</v>
      </c>
      <c r="I70" s="206" t="s">
        <v>634</v>
      </c>
    </row>
    <row r="71" spans="2:9" ht="24" x14ac:dyDescent="0.25">
      <c r="B71" s="247">
        <v>3</v>
      </c>
      <c r="C71" s="183" t="s">
        <v>2036</v>
      </c>
      <c r="D71" s="200" t="s">
        <v>2016</v>
      </c>
      <c r="E71" s="210" t="s">
        <v>15</v>
      </c>
      <c r="F71" s="210" t="s">
        <v>17</v>
      </c>
      <c r="G71" s="210" t="s">
        <v>273</v>
      </c>
      <c r="H71" s="206" t="s">
        <v>641</v>
      </c>
      <c r="I71" s="206" t="s">
        <v>641</v>
      </c>
    </row>
    <row r="72" spans="2:9" ht="24" x14ac:dyDescent="0.25">
      <c r="B72" s="247">
        <v>4</v>
      </c>
      <c r="C72" s="183" t="s">
        <v>2032</v>
      </c>
      <c r="D72" s="200" t="s">
        <v>2017</v>
      </c>
      <c r="E72" s="210" t="s">
        <v>15</v>
      </c>
      <c r="F72" s="210" t="s">
        <v>18</v>
      </c>
      <c r="G72" s="210"/>
      <c r="H72" s="206" t="s">
        <v>650</v>
      </c>
      <c r="I72" s="206" t="s">
        <v>650</v>
      </c>
    </row>
    <row r="73" spans="2:9" ht="24" x14ac:dyDescent="0.25">
      <c r="B73" s="247">
        <v>5</v>
      </c>
      <c r="C73" s="183" t="s">
        <v>2033</v>
      </c>
      <c r="D73" s="200" t="s">
        <v>2019</v>
      </c>
      <c r="E73" s="210" t="s">
        <v>15</v>
      </c>
      <c r="F73" s="210" t="s">
        <v>36</v>
      </c>
      <c r="G73" s="210"/>
      <c r="H73" s="206" t="s">
        <v>2018</v>
      </c>
      <c r="I73" s="206" t="s">
        <v>2018</v>
      </c>
    </row>
    <row r="74" spans="2:9" ht="24" x14ac:dyDescent="0.25">
      <c r="B74" s="247">
        <v>6</v>
      </c>
      <c r="C74" s="183" t="s">
        <v>2034</v>
      </c>
      <c r="D74" s="200" t="s">
        <v>2021</v>
      </c>
      <c r="E74" s="210" t="s">
        <v>15</v>
      </c>
      <c r="F74" s="210" t="s">
        <v>36</v>
      </c>
      <c r="G74" s="210"/>
      <c r="H74" s="206" t="s">
        <v>2020</v>
      </c>
      <c r="I74" s="206" t="s">
        <v>2020</v>
      </c>
    </row>
    <row r="75" spans="2:9" ht="24" x14ac:dyDescent="0.25">
      <c r="B75" s="247">
        <v>7</v>
      </c>
      <c r="C75" s="183" t="s">
        <v>2035</v>
      </c>
      <c r="D75" s="200" t="s">
        <v>670</v>
      </c>
      <c r="E75" s="210" t="s">
        <v>15</v>
      </c>
      <c r="F75" s="210" t="s">
        <v>8</v>
      </c>
      <c r="G75" s="210"/>
      <c r="H75" s="206" t="s">
        <v>671</v>
      </c>
      <c r="I75" s="206" t="s">
        <v>671</v>
      </c>
    </row>
    <row r="76" spans="2:9" x14ac:dyDescent="0.25">
      <c r="B76" s="205"/>
      <c r="C76" s="220"/>
      <c r="D76" s="183"/>
      <c r="E76" s="205"/>
      <c r="F76" s="205"/>
      <c r="G76" s="205"/>
      <c r="H76" s="206"/>
      <c r="I76" s="205"/>
    </row>
    <row r="77" spans="2:9" x14ac:dyDescent="0.25">
      <c r="B77" s="324" t="s">
        <v>2084</v>
      </c>
      <c r="C77" s="325"/>
      <c r="D77" s="325"/>
      <c r="E77" s="325"/>
      <c r="F77" s="325"/>
      <c r="G77" s="325"/>
      <c r="H77" s="325"/>
      <c r="I77" s="325"/>
    </row>
    <row r="78" spans="2:9" x14ac:dyDescent="0.25">
      <c r="B78" s="326" t="s">
        <v>703</v>
      </c>
      <c r="C78" s="327"/>
      <c r="D78" s="327"/>
      <c r="E78" s="209"/>
      <c r="F78" s="209"/>
      <c r="G78" s="209"/>
      <c r="H78" s="213"/>
      <c r="I78" s="209"/>
    </row>
    <row r="79" spans="2:9" x14ac:dyDescent="0.25">
      <c r="B79" s="326" t="s">
        <v>761</v>
      </c>
      <c r="C79" s="327"/>
      <c r="D79" s="327"/>
      <c r="E79" s="209"/>
      <c r="F79" s="209"/>
      <c r="G79" s="209"/>
      <c r="H79" s="236" t="s">
        <v>2074</v>
      </c>
      <c r="I79" s="236" t="s">
        <v>2075</v>
      </c>
    </row>
    <row r="80" spans="2:9" x14ac:dyDescent="0.25">
      <c r="B80" s="224">
        <v>1</v>
      </c>
      <c r="C80" s="225"/>
      <c r="D80" s="223" t="s">
        <v>2054</v>
      </c>
      <c r="E80" s="226" t="s">
        <v>5</v>
      </c>
      <c r="F80" s="226" t="s">
        <v>19</v>
      </c>
      <c r="G80" s="224" t="s">
        <v>2065</v>
      </c>
      <c r="H80" s="223"/>
      <c r="I80" s="225"/>
    </row>
    <row r="81" spans="2:13" ht="24" x14ac:dyDescent="0.25">
      <c r="B81" s="224">
        <v>2</v>
      </c>
      <c r="C81" s="238" t="s">
        <v>5529</v>
      </c>
      <c r="D81" s="237" t="s">
        <v>2079</v>
      </c>
      <c r="E81" s="226"/>
      <c r="F81" s="226"/>
      <c r="G81" s="240" t="s">
        <v>2077</v>
      </c>
      <c r="H81" s="223"/>
      <c r="I81" s="225"/>
    </row>
    <row r="82" spans="2:13" ht="24" x14ac:dyDescent="0.25">
      <c r="B82" s="247">
        <v>3</v>
      </c>
      <c r="C82" s="263" t="s">
        <v>5530</v>
      </c>
      <c r="D82" s="263" t="s">
        <v>5523</v>
      </c>
      <c r="E82" s="203" t="s">
        <v>5</v>
      </c>
      <c r="F82" s="203" t="s">
        <v>34</v>
      </c>
      <c r="G82" s="203" t="s">
        <v>705</v>
      </c>
      <c r="H82" s="214" t="s">
        <v>706</v>
      </c>
      <c r="I82" s="214" t="s">
        <v>763</v>
      </c>
    </row>
    <row r="83" spans="2:13" ht="24" x14ac:dyDescent="0.25">
      <c r="B83" s="247">
        <v>4</v>
      </c>
      <c r="C83" s="263" t="s">
        <v>5531</v>
      </c>
      <c r="D83" s="263" t="s">
        <v>5524</v>
      </c>
      <c r="E83" s="203" t="s">
        <v>5</v>
      </c>
      <c r="F83" s="203" t="s">
        <v>26</v>
      </c>
      <c r="G83" s="203"/>
      <c r="H83" s="214" t="s">
        <v>722</v>
      </c>
      <c r="I83" s="214" t="s">
        <v>770</v>
      </c>
    </row>
    <row r="84" spans="2:13" ht="36" x14ac:dyDescent="0.25">
      <c r="B84" s="247">
        <v>5</v>
      </c>
      <c r="C84" s="263" t="s">
        <v>5534</v>
      </c>
      <c r="D84" s="263" t="s">
        <v>5525</v>
      </c>
      <c r="E84" s="203" t="s">
        <v>15</v>
      </c>
      <c r="F84" s="203" t="s">
        <v>74</v>
      </c>
      <c r="G84" s="203" t="s">
        <v>754</v>
      </c>
      <c r="H84" s="214" t="s">
        <v>2024</v>
      </c>
      <c r="I84" s="214" t="s">
        <v>2063</v>
      </c>
    </row>
    <row r="85" spans="2:13" ht="36" x14ac:dyDescent="0.25">
      <c r="B85" s="247">
        <v>6</v>
      </c>
      <c r="C85" s="263" t="s">
        <v>5535</v>
      </c>
      <c r="D85" s="263" t="s">
        <v>5526</v>
      </c>
      <c r="E85" s="203" t="s">
        <v>15</v>
      </c>
      <c r="F85" s="203" t="s">
        <v>74</v>
      </c>
      <c r="G85" s="203" t="s">
        <v>754</v>
      </c>
      <c r="H85" s="214" t="s">
        <v>2025</v>
      </c>
      <c r="I85" s="214" t="s">
        <v>2064</v>
      </c>
    </row>
    <row r="86" spans="2:13" x14ac:dyDescent="0.25">
      <c r="B86" s="205"/>
      <c r="C86" s="205"/>
      <c r="D86" s="205"/>
      <c r="E86" s="205"/>
      <c r="F86" s="205"/>
      <c r="G86" s="205"/>
      <c r="H86" s="205"/>
      <c r="I86" s="205"/>
    </row>
    <row r="87" spans="2:13" x14ac:dyDescent="0.25">
      <c r="B87" s="324" t="s">
        <v>2085</v>
      </c>
      <c r="C87" s="325"/>
      <c r="D87" s="325"/>
      <c r="E87" s="325"/>
      <c r="F87" s="325"/>
      <c r="G87" s="325"/>
      <c r="H87" s="325"/>
      <c r="I87" s="325"/>
    </row>
    <row r="88" spans="2:13" x14ac:dyDescent="0.25">
      <c r="B88" s="326" t="s">
        <v>828</v>
      </c>
      <c r="C88" s="327"/>
      <c r="D88" s="327"/>
      <c r="E88" s="209"/>
      <c r="F88" s="209"/>
      <c r="G88" s="209"/>
      <c r="H88" s="209"/>
      <c r="I88" s="209"/>
    </row>
    <row r="89" spans="2:13" x14ac:dyDescent="0.25">
      <c r="B89" s="224">
        <v>1</v>
      </c>
      <c r="C89" s="225"/>
      <c r="D89" s="223" t="s">
        <v>2054</v>
      </c>
      <c r="E89" s="226" t="s">
        <v>5</v>
      </c>
      <c r="F89" s="226" t="s">
        <v>19</v>
      </c>
      <c r="G89" s="224" t="s">
        <v>2056</v>
      </c>
      <c r="H89" s="223"/>
      <c r="I89" s="225"/>
    </row>
    <row r="90" spans="2:13" x14ac:dyDescent="0.25">
      <c r="B90" s="247">
        <v>2</v>
      </c>
      <c r="C90" s="214" t="s">
        <v>1962</v>
      </c>
      <c r="D90" s="204" t="s">
        <v>829</v>
      </c>
      <c r="E90" s="244" t="s">
        <v>15</v>
      </c>
      <c r="F90" s="244" t="s">
        <v>831</v>
      </c>
      <c r="G90" s="244"/>
      <c r="H90" s="214" t="s">
        <v>832</v>
      </c>
      <c r="I90" s="205"/>
    </row>
    <row r="91" spans="2:13" x14ac:dyDescent="0.25">
      <c r="B91" s="247">
        <v>3</v>
      </c>
      <c r="C91" s="214" t="s">
        <v>1963</v>
      </c>
      <c r="D91" s="204" t="s">
        <v>838</v>
      </c>
      <c r="E91" s="244" t="s">
        <v>15</v>
      </c>
      <c r="F91" s="244" t="s">
        <v>22</v>
      </c>
      <c r="G91" s="244" t="s">
        <v>23</v>
      </c>
      <c r="H91" s="214" t="s">
        <v>839</v>
      </c>
      <c r="I91" s="205"/>
      <c r="M91" t="s">
        <v>1197</v>
      </c>
    </row>
    <row r="92" spans="2:13" ht="24" x14ac:dyDescent="0.25">
      <c r="B92" s="247">
        <v>4</v>
      </c>
      <c r="C92" s="214" t="s">
        <v>1964</v>
      </c>
      <c r="D92" s="204" t="s">
        <v>846</v>
      </c>
      <c r="E92" s="244" t="s">
        <v>15</v>
      </c>
      <c r="F92" s="244" t="s">
        <v>20</v>
      </c>
      <c r="G92" s="244" t="s">
        <v>847</v>
      </c>
      <c r="H92" s="214" t="s">
        <v>848</v>
      </c>
      <c r="I92" s="205"/>
    </row>
    <row r="93" spans="2:13" x14ac:dyDescent="0.25">
      <c r="B93" s="247">
        <v>5</v>
      </c>
      <c r="C93" s="214" t="s">
        <v>27</v>
      </c>
      <c r="D93" s="204" t="s">
        <v>866</v>
      </c>
      <c r="E93" s="244" t="s">
        <v>15</v>
      </c>
      <c r="F93" s="244" t="s">
        <v>26</v>
      </c>
      <c r="G93" s="244"/>
      <c r="H93" s="214" t="s">
        <v>867</v>
      </c>
      <c r="I93" s="205"/>
    </row>
    <row r="94" spans="2:13" ht="24" x14ac:dyDescent="0.25">
      <c r="B94" s="247">
        <v>6</v>
      </c>
      <c r="C94" s="214" t="s">
        <v>1217</v>
      </c>
      <c r="D94" s="204" t="s">
        <v>872</v>
      </c>
      <c r="E94" s="244" t="s">
        <v>15</v>
      </c>
      <c r="F94" s="244" t="s">
        <v>24</v>
      </c>
      <c r="G94" s="244"/>
      <c r="H94" s="214" t="s">
        <v>873</v>
      </c>
      <c r="I94" s="205"/>
    </row>
    <row r="95" spans="2:13" ht="24" x14ac:dyDescent="0.25">
      <c r="B95" s="247">
        <v>7</v>
      </c>
      <c r="C95" s="214" t="s">
        <v>1965</v>
      </c>
      <c r="D95" s="204" t="s">
        <v>876</v>
      </c>
      <c r="E95" s="244" t="s">
        <v>15</v>
      </c>
      <c r="F95" s="244" t="s">
        <v>877</v>
      </c>
      <c r="G95" s="244" t="s">
        <v>878</v>
      </c>
      <c r="H95" s="214" t="s">
        <v>1971</v>
      </c>
      <c r="I95" s="205"/>
    </row>
    <row r="96" spans="2:13" ht="24" x14ac:dyDescent="0.25">
      <c r="B96" s="247">
        <v>8</v>
      </c>
      <c r="C96" s="214" t="s">
        <v>1966</v>
      </c>
      <c r="D96" s="204" t="s">
        <v>1952</v>
      </c>
      <c r="E96" s="244" t="s">
        <v>15</v>
      </c>
      <c r="F96" s="244" t="s">
        <v>12</v>
      </c>
      <c r="G96" s="244"/>
      <c r="H96" s="214" t="s">
        <v>1951</v>
      </c>
      <c r="I96" s="205"/>
    </row>
    <row r="97" spans="2:9" ht="48" x14ac:dyDescent="0.25">
      <c r="B97" s="247">
        <v>9</v>
      </c>
      <c r="C97" s="214" t="s">
        <v>1967</v>
      </c>
      <c r="D97" s="204" t="s">
        <v>1954</v>
      </c>
      <c r="E97" s="244" t="s">
        <v>15</v>
      </c>
      <c r="F97" s="244"/>
      <c r="G97" s="245" t="s">
        <v>1958</v>
      </c>
      <c r="H97" s="214" t="s">
        <v>1953</v>
      </c>
      <c r="I97" s="205"/>
    </row>
    <row r="98" spans="2:9" ht="36" x14ac:dyDescent="0.25">
      <c r="B98" s="247">
        <v>10</v>
      </c>
      <c r="C98" s="214" t="s">
        <v>1968</v>
      </c>
      <c r="D98" s="204" t="s">
        <v>2088</v>
      </c>
      <c r="E98" s="244" t="s">
        <v>15</v>
      </c>
      <c r="F98" s="244" t="s">
        <v>35</v>
      </c>
      <c r="G98" s="244"/>
      <c r="H98" s="214" t="s">
        <v>1950</v>
      </c>
      <c r="I98" s="205"/>
    </row>
    <row r="99" spans="2:9" ht="36" x14ac:dyDescent="0.25">
      <c r="B99" s="247">
        <v>11</v>
      </c>
      <c r="C99" s="214" t="s">
        <v>1969</v>
      </c>
      <c r="D99" s="204" t="s">
        <v>2089</v>
      </c>
      <c r="E99" s="244" t="s">
        <v>15</v>
      </c>
      <c r="F99" s="244" t="s">
        <v>29</v>
      </c>
      <c r="G99" s="244" t="s">
        <v>910</v>
      </c>
      <c r="H99" s="214" t="s">
        <v>1955</v>
      </c>
      <c r="I99" s="205"/>
    </row>
    <row r="100" spans="2:9" x14ac:dyDescent="0.25">
      <c r="B100" s="365">
        <v>12</v>
      </c>
      <c r="C100" s="367" t="s">
        <v>1970</v>
      </c>
      <c r="D100" s="204" t="s">
        <v>930</v>
      </c>
      <c r="E100" s="369" t="s">
        <v>15</v>
      </c>
      <c r="F100" s="244" t="s">
        <v>1961</v>
      </c>
      <c r="G100" s="246"/>
      <c r="H100" s="367" t="s">
        <v>1957</v>
      </c>
      <c r="I100" s="205"/>
    </row>
    <row r="101" spans="2:9" ht="24" x14ac:dyDescent="0.25">
      <c r="B101" s="366"/>
      <c r="C101" s="368"/>
      <c r="D101" s="204" t="s">
        <v>1568</v>
      </c>
      <c r="E101" s="370"/>
      <c r="F101" s="244" t="s">
        <v>32</v>
      </c>
      <c r="G101" s="244" t="s">
        <v>933</v>
      </c>
      <c r="H101" s="368"/>
      <c r="I101" s="205"/>
    </row>
    <row r="102" spans="2:9" x14ac:dyDescent="0.25">
      <c r="B102" s="205"/>
      <c r="C102" s="205"/>
      <c r="D102" s="205"/>
      <c r="E102" s="205"/>
      <c r="F102" s="205"/>
      <c r="G102" s="205"/>
      <c r="H102" s="205"/>
      <c r="I102" s="205"/>
    </row>
    <row r="103" spans="2:9" x14ac:dyDescent="0.25">
      <c r="B103" s="324" t="s">
        <v>2086</v>
      </c>
      <c r="C103" s="325"/>
      <c r="D103" s="325"/>
      <c r="E103" s="325"/>
      <c r="F103" s="325"/>
      <c r="G103" s="325"/>
      <c r="H103" s="325"/>
      <c r="I103" s="325"/>
    </row>
    <row r="104" spans="2:9" x14ac:dyDescent="0.25">
      <c r="B104" s="326" t="s">
        <v>179</v>
      </c>
      <c r="C104" s="327"/>
      <c r="D104" s="327"/>
      <c r="E104" s="209"/>
      <c r="F104" s="209"/>
      <c r="G104" s="209"/>
      <c r="H104" s="209"/>
      <c r="I104" s="209"/>
    </row>
    <row r="105" spans="2:9" x14ac:dyDescent="0.25">
      <c r="B105" s="224">
        <v>1</v>
      </c>
      <c r="C105" s="225"/>
      <c r="D105" s="223" t="s">
        <v>2054</v>
      </c>
      <c r="E105" s="226" t="s">
        <v>5</v>
      </c>
      <c r="F105" s="226" t="s">
        <v>19</v>
      </c>
      <c r="G105" s="224" t="s">
        <v>2051</v>
      </c>
      <c r="H105" s="223"/>
      <c r="I105" s="225"/>
    </row>
    <row r="106" spans="2:9" ht="24" x14ac:dyDescent="0.25">
      <c r="B106" s="247">
        <v>2</v>
      </c>
      <c r="C106" s="219" t="s">
        <v>1945</v>
      </c>
      <c r="D106" s="204" t="s">
        <v>180</v>
      </c>
      <c r="E106" s="243" t="s">
        <v>15</v>
      </c>
      <c r="F106" s="243" t="s">
        <v>181</v>
      </c>
      <c r="G106" s="243"/>
      <c r="H106" s="214" t="s">
        <v>182</v>
      </c>
      <c r="I106" s="205"/>
    </row>
    <row r="107" spans="2:9" ht="24" x14ac:dyDescent="0.25">
      <c r="B107" s="247">
        <v>3</v>
      </c>
      <c r="C107" s="219" t="s">
        <v>1219</v>
      </c>
      <c r="D107" s="204" t="s">
        <v>189</v>
      </c>
      <c r="E107" s="243" t="s">
        <v>15</v>
      </c>
      <c r="F107" s="243" t="s">
        <v>30</v>
      </c>
      <c r="G107" s="243" t="s">
        <v>190</v>
      </c>
      <c r="H107" s="214" t="s">
        <v>191</v>
      </c>
      <c r="I107" s="205"/>
    </row>
    <row r="108" spans="2:9" x14ac:dyDescent="0.25">
      <c r="B108" s="247">
        <v>4</v>
      </c>
      <c r="C108" s="219" t="s">
        <v>1218</v>
      </c>
      <c r="D108" s="204" t="s">
        <v>208</v>
      </c>
      <c r="E108" s="243" t="s">
        <v>15</v>
      </c>
      <c r="F108" s="243" t="s">
        <v>35</v>
      </c>
      <c r="G108" s="243"/>
      <c r="H108" s="214" t="s">
        <v>209</v>
      </c>
      <c r="I108" s="205"/>
    </row>
    <row r="109" spans="2:9" ht="24" x14ac:dyDescent="0.25">
      <c r="B109" s="247">
        <v>5</v>
      </c>
      <c r="C109" s="219" t="s">
        <v>1946</v>
      </c>
      <c r="D109" s="204" t="s">
        <v>1228</v>
      </c>
      <c r="E109" s="243" t="s">
        <v>15</v>
      </c>
      <c r="F109" s="243" t="s">
        <v>143</v>
      </c>
      <c r="G109" s="243" t="s">
        <v>144</v>
      </c>
      <c r="H109" s="214" t="s">
        <v>1226</v>
      </c>
      <c r="I109" s="205"/>
    </row>
    <row r="110" spans="2:9" ht="24" x14ac:dyDescent="0.25">
      <c r="B110" s="247">
        <v>6</v>
      </c>
      <c r="C110" s="219" t="s">
        <v>1947</v>
      </c>
      <c r="D110" s="204" t="s">
        <v>1229</v>
      </c>
      <c r="E110" s="243" t="s">
        <v>15</v>
      </c>
      <c r="F110" s="243" t="s">
        <v>17</v>
      </c>
      <c r="G110" s="243" t="s">
        <v>266</v>
      </c>
      <c r="H110" s="214" t="s">
        <v>1227</v>
      </c>
      <c r="I110" s="205"/>
    </row>
    <row r="111" spans="2:9" x14ac:dyDescent="0.25">
      <c r="B111" s="216"/>
      <c r="C111" s="216"/>
      <c r="D111" s="216"/>
      <c r="E111" s="216"/>
      <c r="F111" s="216"/>
      <c r="G111" s="216"/>
      <c r="H111" s="216"/>
      <c r="I111" s="216"/>
    </row>
  </sheetData>
  <mergeCells count="28">
    <mergeCell ref="B104:D104"/>
    <mergeCell ref="B78:D78"/>
    <mergeCell ref="B79:D79"/>
    <mergeCell ref="B87:I87"/>
    <mergeCell ref="B88:D88"/>
    <mergeCell ref="B100:B101"/>
    <mergeCell ref="C100:C101"/>
    <mergeCell ref="E100:E101"/>
    <mergeCell ref="H100:H101"/>
    <mergeCell ref="B103:I103"/>
    <mergeCell ref="B77:I77"/>
    <mergeCell ref="B26:D26"/>
    <mergeCell ref="B31:I31"/>
    <mergeCell ref="B32:D32"/>
    <mergeCell ref="B46:I46"/>
    <mergeCell ref="B47:D47"/>
    <mergeCell ref="B56:I56"/>
    <mergeCell ref="B57:D57"/>
    <mergeCell ref="B58:D58"/>
    <mergeCell ref="B66:I66"/>
    <mergeCell ref="B67:D67"/>
    <mergeCell ref="B68:D68"/>
    <mergeCell ref="B22:D22"/>
    <mergeCell ref="B6:I6"/>
    <mergeCell ref="B7:D7"/>
    <mergeCell ref="F7:G7"/>
    <mergeCell ref="B14:D14"/>
    <mergeCell ref="B18: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8"/>
  <sheetViews>
    <sheetView workbookViewId="0">
      <selection activeCell="I12" sqref="I12"/>
    </sheetView>
  </sheetViews>
  <sheetFormatPr defaultRowHeight="15" x14ac:dyDescent="0.25"/>
  <cols>
    <col min="2" max="2" width="14.42578125" customWidth="1"/>
    <col min="3" max="3" width="16.5703125" customWidth="1"/>
    <col min="4" max="4" width="14.42578125" customWidth="1"/>
    <col min="5" max="5" width="17.140625" customWidth="1"/>
    <col min="6" max="6" width="15.5703125" customWidth="1"/>
    <col min="7" max="7" width="17.7109375" customWidth="1"/>
    <col min="8" max="18" width="14.42578125" customWidth="1"/>
  </cols>
  <sheetData>
    <row r="1" spans="1:18" x14ac:dyDescent="0.25">
      <c r="A1" s="224">
        <v>1</v>
      </c>
      <c r="B1" s="247">
        <v>2</v>
      </c>
      <c r="C1" s="247">
        <v>3</v>
      </c>
      <c r="D1" s="247">
        <v>4</v>
      </c>
      <c r="E1" s="247">
        <v>5</v>
      </c>
      <c r="F1" s="247">
        <v>6</v>
      </c>
      <c r="G1" s="247">
        <v>7</v>
      </c>
      <c r="H1" s="247">
        <v>8</v>
      </c>
      <c r="I1" s="247">
        <v>9</v>
      </c>
      <c r="J1" s="247">
        <v>10</v>
      </c>
      <c r="K1" s="247">
        <v>11</v>
      </c>
      <c r="L1" s="247">
        <v>12</v>
      </c>
      <c r="M1" s="247">
        <v>13</v>
      </c>
      <c r="N1" s="247">
        <v>14</v>
      </c>
      <c r="O1" s="247">
        <v>15</v>
      </c>
      <c r="P1" s="247">
        <v>16</v>
      </c>
      <c r="Q1" s="247">
        <v>17</v>
      </c>
      <c r="R1" s="247">
        <v>18</v>
      </c>
    </row>
    <row r="2" spans="1:18" ht="24" x14ac:dyDescent="0.25">
      <c r="A2" s="225"/>
      <c r="B2" s="214" t="s">
        <v>43</v>
      </c>
      <c r="C2" s="214" t="s">
        <v>10</v>
      </c>
      <c r="D2" s="214" t="s">
        <v>14</v>
      </c>
      <c r="E2" s="214" t="s">
        <v>44</v>
      </c>
      <c r="F2" s="214" t="s">
        <v>1198</v>
      </c>
      <c r="G2" s="214" t="s">
        <v>1201</v>
      </c>
      <c r="H2" s="214" t="s">
        <v>1199</v>
      </c>
      <c r="I2" s="214" t="s">
        <v>1200</v>
      </c>
      <c r="J2" s="214" t="s">
        <v>1202</v>
      </c>
      <c r="K2" s="214" t="s">
        <v>1203</v>
      </c>
      <c r="L2" s="214" t="s">
        <v>1204</v>
      </c>
      <c r="M2" s="214" t="s">
        <v>5517</v>
      </c>
      <c r="N2" s="214" t="s">
        <v>5518</v>
      </c>
      <c r="O2" s="214" t="s">
        <v>5519</v>
      </c>
      <c r="P2" s="214" t="s">
        <v>5520</v>
      </c>
      <c r="Q2" s="214" t="s">
        <v>5521</v>
      </c>
      <c r="R2" s="214" t="s">
        <v>5522</v>
      </c>
    </row>
    <row r="3" spans="1:18" x14ac:dyDescent="0.25">
      <c r="A3" t="s">
        <v>2096</v>
      </c>
    </row>
    <row r="6" spans="1:18" x14ac:dyDescent="0.25">
      <c r="A6" s="224">
        <v>1</v>
      </c>
      <c r="B6" s="247">
        <v>2</v>
      </c>
      <c r="C6" s="247">
        <v>3</v>
      </c>
      <c r="D6" s="247">
        <v>4</v>
      </c>
      <c r="E6" s="247">
        <v>5</v>
      </c>
      <c r="F6" s="247">
        <v>6</v>
      </c>
      <c r="G6" s="247">
        <v>7</v>
      </c>
      <c r="H6" s="247">
        <v>8</v>
      </c>
      <c r="I6" s="247">
        <v>9</v>
      </c>
      <c r="J6" s="247">
        <v>10</v>
      </c>
      <c r="K6" s="247">
        <v>11</v>
      </c>
      <c r="L6" s="247">
        <v>12</v>
      </c>
    </row>
    <row r="7" spans="1:18" ht="24" x14ac:dyDescent="0.25">
      <c r="A7" s="225"/>
      <c r="B7" s="214" t="s">
        <v>1990</v>
      </c>
      <c r="C7" s="214" t="s">
        <v>2111</v>
      </c>
      <c r="D7" s="214" t="s">
        <v>2107</v>
      </c>
      <c r="E7" s="214" t="s">
        <v>2108</v>
      </c>
      <c r="F7" s="214" t="s">
        <v>2112</v>
      </c>
      <c r="G7" s="214" t="s">
        <v>2115</v>
      </c>
      <c r="H7" s="214" t="s">
        <v>1993</v>
      </c>
      <c r="I7" s="214" t="s">
        <v>1991</v>
      </c>
      <c r="J7" s="214" t="s">
        <v>2114</v>
      </c>
      <c r="K7" s="214" t="s">
        <v>2113</v>
      </c>
      <c r="L7" s="214" t="s">
        <v>2109</v>
      </c>
    </row>
    <row r="8" spans="1:18" x14ac:dyDescent="0.25">
      <c r="A8" t="s">
        <v>2105</v>
      </c>
    </row>
    <row r="11" spans="1:18" x14ac:dyDescent="0.25">
      <c r="A11" s="224">
        <v>1</v>
      </c>
      <c r="B11" s="202">
        <v>2</v>
      </c>
      <c r="C11" s="202">
        <v>3</v>
      </c>
      <c r="D11" s="202">
        <v>4</v>
      </c>
      <c r="E11" s="202">
        <v>5</v>
      </c>
      <c r="F11" s="202">
        <v>6</v>
      </c>
      <c r="G11" s="202">
        <v>7</v>
      </c>
    </row>
    <row r="12" spans="1:18" ht="36" x14ac:dyDescent="0.25">
      <c r="A12" s="225"/>
      <c r="B12" s="264" t="s">
        <v>1212</v>
      </c>
      <c r="C12" s="264" t="s">
        <v>1213</v>
      </c>
      <c r="D12" s="264" t="s">
        <v>1214</v>
      </c>
      <c r="E12" s="264" t="s">
        <v>2039</v>
      </c>
      <c r="F12" s="264" t="s">
        <v>2040</v>
      </c>
      <c r="G12" s="264" t="s">
        <v>2041</v>
      </c>
    </row>
    <row r="13" spans="1:18" x14ac:dyDescent="0.25">
      <c r="A13" t="s">
        <v>2103</v>
      </c>
    </row>
    <row r="16" spans="1:18" x14ac:dyDescent="0.25">
      <c r="A16" s="224">
        <v>1</v>
      </c>
      <c r="B16" s="224">
        <v>2</v>
      </c>
      <c r="C16" s="202">
        <v>3</v>
      </c>
      <c r="D16" s="202">
        <v>4</v>
      </c>
      <c r="E16" s="202">
        <v>5</v>
      </c>
      <c r="F16" s="202">
        <v>6</v>
      </c>
    </row>
    <row r="17" spans="1:12" ht="36" x14ac:dyDescent="0.25">
      <c r="A17" s="225"/>
      <c r="B17" s="239" t="s">
        <v>2078</v>
      </c>
      <c r="C17" s="263" t="s">
        <v>2037</v>
      </c>
      <c r="D17" s="263" t="s">
        <v>2042</v>
      </c>
      <c r="E17" s="263" t="s">
        <v>2043</v>
      </c>
      <c r="F17" s="263" t="s">
        <v>2038</v>
      </c>
    </row>
    <row r="18" spans="1:12" x14ac:dyDescent="0.25">
      <c r="A18" t="s">
        <v>2070</v>
      </c>
      <c r="B18" t="s">
        <v>2023</v>
      </c>
    </row>
    <row r="19" spans="1:12" x14ac:dyDescent="0.25">
      <c r="A19" t="s">
        <v>2070</v>
      </c>
      <c r="B19" t="s">
        <v>2022</v>
      </c>
    </row>
    <row r="21" spans="1:12" x14ac:dyDescent="0.25">
      <c r="A21" s="224">
        <v>1</v>
      </c>
      <c r="B21" s="202">
        <v>2</v>
      </c>
      <c r="C21" s="202">
        <v>3</v>
      </c>
      <c r="D21" s="202">
        <v>4</v>
      </c>
      <c r="E21" s="202">
        <v>5</v>
      </c>
      <c r="F21" s="202">
        <v>6</v>
      </c>
      <c r="G21" s="202">
        <v>7</v>
      </c>
    </row>
    <row r="22" spans="1:12" ht="24" x14ac:dyDescent="0.25">
      <c r="A22" s="225"/>
      <c r="B22" s="263" t="s">
        <v>2073</v>
      </c>
      <c r="C22" s="263" t="s">
        <v>2036</v>
      </c>
      <c r="D22" s="263" t="s">
        <v>2032</v>
      </c>
      <c r="E22" s="263" t="s">
        <v>2033</v>
      </c>
      <c r="F22" s="263" t="s">
        <v>2034</v>
      </c>
      <c r="G22" s="263" t="s">
        <v>2035</v>
      </c>
    </row>
    <row r="23" spans="1:12" x14ac:dyDescent="0.25">
      <c r="A23" t="s">
        <v>1623</v>
      </c>
      <c r="B23" t="s">
        <v>2023</v>
      </c>
    </row>
    <row r="24" spans="1:12" x14ac:dyDescent="0.25">
      <c r="A24" t="s">
        <v>1623</v>
      </c>
      <c r="B24" t="s">
        <v>2022</v>
      </c>
    </row>
    <row r="26" spans="1:12" x14ac:dyDescent="0.25">
      <c r="A26" s="224">
        <v>1</v>
      </c>
      <c r="B26" s="224">
        <v>2</v>
      </c>
      <c r="C26" s="202">
        <v>3</v>
      </c>
      <c r="D26" s="202">
        <v>4</v>
      </c>
      <c r="E26" s="202">
        <v>5</v>
      </c>
      <c r="F26" s="202">
        <v>6</v>
      </c>
    </row>
    <row r="27" spans="1:12" ht="26.25" customHeight="1" x14ac:dyDescent="0.25">
      <c r="A27" s="225"/>
      <c r="B27" s="238" t="s">
        <v>2076</v>
      </c>
      <c r="C27" s="263" t="s">
        <v>1215</v>
      </c>
      <c r="D27" s="263" t="s">
        <v>1216</v>
      </c>
      <c r="E27" s="263" t="s">
        <v>2030</v>
      </c>
      <c r="F27" s="263" t="s">
        <v>2031</v>
      </c>
    </row>
    <row r="28" spans="1:12" x14ac:dyDescent="0.25">
      <c r="A28" t="s">
        <v>2065</v>
      </c>
      <c r="B28" t="s">
        <v>2074</v>
      </c>
    </row>
    <row r="29" spans="1:12" x14ac:dyDescent="0.25">
      <c r="A29" t="s">
        <v>2065</v>
      </c>
      <c r="B29" t="s">
        <v>2075</v>
      </c>
    </row>
    <row r="31" spans="1:12" x14ac:dyDescent="0.25">
      <c r="A31" s="224">
        <v>1</v>
      </c>
      <c r="B31" s="202">
        <v>2</v>
      </c>
      <c r="C31" s="202">
        <v>3</v>
      </c>
      <c r="D31" s="202">
        <v>4</v>
      </c>
      <c r="E31" s="202">
        <v>5</v>
      </c>
      <c r="F31" s="202">
        <v>6</v>
      </c>
      <c r="G31" s="202">
        <v>7</v>
      </c>
      <c r="H31" s="202">
        <v>8</v>
      </c>
      <c r="I31" s="202">
        <v>9</v>
      </c>
      <c r="J31" s="202">
        <v>10</v>
      </c>
      <c r="K31" s="202">
        <v>11</v>
      </c>
      <c r="L31" s="202">
        <v>12</v>
      </c>
    </row>
    <row r="32" spans="1:12" ht="24" x14ac:dyDescent="0.25">
      <c r="A32" s="225"/>
      <c r="B32" s="204" t="s">
        <v>1962</v>
      </c>
      <c r="C32" s="204" t="s">
        <v>1963</v>
      </c>
      <c r="D32" s="204" t="s">
        <v>1964</v>
      </c>
      <c r="E32" s="204" t="s">
        <v>27</v>
      </c>
      <c r="F32" s="204" t="s">
        <v>1217</v>
      </c>
      <c r="G32" s="204" t="s">
        <v>1965</v>
      </c>
      <c r="H32" s="204" t="s">
        <v>1966</v>
      </c>
      <c r="I32" s="204" t="s">
        <v>1967</v>
      </c>
      <c r="J32" s="204" t="s">
        <v>1968</v>
      </c>
      <c r="K32" s="204" t="s">
        <v>1969</v>
      </c>
      <c r="L32" s="204" t="s">
        <v>1970</v>
      </c>
    </row>
    <row r="33" spans="1:6" x14ac:dyDescent="0.25">
      <c r="A33" t="s">
        <v>2056</v>
      </c>
    </row>
    <row r="36" spans="1:6" x14ac:dyDescent="0.25">
      <c r="A36" s="224">
        <v>1</v>
      </c>
      <c r="B36" s="202">
        <v>2</v>
      </c>
      <c r="C36" s="202">
        <v>3</v>
      </c>
      <c r="D36" s="202">
        <v>4</v>
      </c>
      <c r="E36" s="202">
        <v>5</v>
      </c>
      <c r="F36" s="202">
        <v>6</v>
      </c>
    </row>
    <row r="37" spans="1:6" ht="24" x14ac:dyDescent="0.25">
      <c r="A37" s="225"/>
      <c r="B37" s="204" t="s">
        <v>1945</v>
      </c>
      <c r="C37" s="204" t="s">
        <v>1219</v>
      </c>
      <c r="D37" s="204" t="s">
        <v>1218</v>
      </c>
      <c r="E37" s="204" t="s">
        <v>1946</v>
      </c>
      <c r="F37" s="204" t="s">
        <v>1947</v>
      </c>
    </row>
    <row r="38" spans="1:6" x14ac:dyDescent="0.25">
      <c r="A38" t="s">
        <v>2051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2"/>
  <sheetViews>
    <sheetView topLeftCell="A48" workbookViewId="0">
      <selection activeCell="B301" sqref="B301"/>
    </sheetView>
  </sheetViews>
  <sheetFormatPr defaultColWidth="0" defaultRowHeight="15" x14ac:dyDescent="0.25"/>
  <cols>
    <col min="1" max="1" width="17.42578125" bestFit="1" customWidth="1"/>
    <col min="2" max="2" width="74.5703125" customWidth="1"/>
    <col min="3" max="3" width="22.140625" customWidth="1"/>
    <col min="4" max="4" width="25.42578125" customWidth="1"/>
    <col min="5" max="5" width="2.5703125" customWidth="1"/>
    <col min="6" max="16384" width="11.5703125" hidden="1"/>
  </cols>
  <sheetData>
    <row r="1" spans="1:5" x14ac:dyDescent="0.25">
      <c r="A1" s="373" t="s">
        <v>1230</v>
      </c>
      <c r="B1" s="373"/>
      <c r="C1" s="373"/>
      <c r="D1" s="115"/>
      <c r="E1" s="115"/>
    </row>
    <row r="2" spans="1:5" x14ac:dyDescent="0.25">
      <c r="A2" s="373" t="s">
        <v>1231</v>
      </c>
      <c r="B2" s="373"/>
      <c r="C2" s="373"/>
      <c r="D2" s="115"/>
      <c r="E2" s="115"/>
    </row>
    <row r="3" spans="1:5" x14ac:dyDescent="0.25">
      <c r="A3" s="115"/>
      <c r="B3" s="116"/>
      <c r="C3" s="115"/>
      <c r="D3" s="115"/>
      <c r="E3" s="115"/>
    </row>
    <row r="4" spans="1:5" x14ac:dyDescent="0.25">
      <c r="A4" s="117" t="s">
        <v>1232</v>
      </c>
      <c r="B4" s="118" t="s">
        <v>39</v>
      </c>
      <c r="C4" s="115"/>
      <c r="D4" s="115"/>
      <c r="E4" s="115"/>
    </row>
    <row r="5" spans="1:5" x14ac:dyDescent="0.25">
      <c r="A5" s="117" t="s">
        <v>1233</v>
      </c>
      <c r="B5" s="119" t="s">
        <v>1234</v>
      </c>
      <c r="C5" s="115"/>
      <c r="D5" s="115"/>
      <c r="E5" s="115"/>
    </row>
    <row r="6" spans="1:5" x14ac:dyDescent="0.25">
      <c r="A6" s="120" t="s">
        <v>1235</v>
      </c>
      <c r="B6" s="121" t="s">
        <v>1236</v>
      </c>
      <c r="C6" s="115"/>
      <c r="D6" s="115"/>
      <c r="E6" s="115"/>
    </row>
    <row r="7" spans="1:5" x14ac:dyDescent="0.25">
      <c r="A7" s="122" t="s">
        <v>39</v>
      </c>
      <c r="B7" s="123" t="s">
        <v>1237</v>
      </c>
      <c r="C7" s="115"/>
      <c r="D7" s="115"/>
      <c r="E7" s="115"/>
    </row>
    <row r="8" spans="1:5" x14ac:dyDescent="0.25">
      <c r="A8" s="122" t="s">
        <v>41</v>
      </c>
      <c r="B8" s="123" t="s">
        <v>1238</v>
      </c>
      <c r="C8" s="115"/>
      <c r="D8" s="115"/>
      <c r="E8" s="115"/>
    </row>
    <row r="9" spans="1:5" x14ac:dyDescent="0.25">
      <c r="A9" s="122" t="s">
        <v>1239</v>
      </c>
      <c r="B9" s="123" t="s">
        <v>1240</v>
      </c>
      <c r="C9" s="115"/>
      <c r="D9" s="115"/>
      <c r="E9" s="115"/>
    </row>
    <row r="10" spans="1:5" ht="38.25" x14ac:dyDescent="0.25">
      <c r="A10" s="124" t="s">
        <v>1241</v>
      </c>
      <c r="B10" s="125" t="s">
        <v>1242</v>
      </c>
      <c r="C10" s="115"/>
      <c r="D10" s="115"/>
      <c r="E10" s="115"/>
    </row>
    <row r="11" spans="1:5" x14ac:dyDescent="0.25">
      <c r="A11" s="122" t="s">
        <v>1243</v>
      </c>
      <c r="B11" s="123" t="s">
        <v>1244</v>
      </c>
      <c r="C11" s="115"/>
      <c r="D11" s="115"/>
      <c r="E11" s="115"/>
    </row>
    <row r="12" spans="1:5" x14ac:dyDescent="0.25">
      <c r="A12" s="122" t="s">
        <v>1245</v>
      </c>
      <c r="B12" s="123" t="s">
        <v>1246</v>
      </c>
      <c r="C12" s="115"/>
      <c r="D12" s="115"/>
      <c r="E12" s="115"/>
    </row>
    <row r="13" spans="1:5" x14ac:dyDescent="0.25">
      <c r="A13" s="122" t="s">
        <v>1247</v>
      </c>
      <c r="B13" s="123" t="s">
        <v>1248</v>
      </c>
      <c r="C13" s="115"/>
      <c r="D13" s="115"/>
      <c r="E13" s="115"/>
    </row>
    <row r="14" spans="1:5" x14ac:dyDescent="0.25">
      <c r="A14" s="122" t="s">
        <v>1249</v>
      </c>
      <c r="B14" s="123" t="s">
        <v>1250</v>
      </c>
      <c r="C14" s="115"/>
      <c r="D14" s="115"/>
      <c r="E14" s="115"/>
    </row>
    <row r="15" spans="1:5" x14ac:dyDescent="0.25">
      <c r="A15" s="122">
        <v>11</v>
      </c>
      <c r="B15" s="123" t="s">
        <v>1251</v>
      </c>
      <c r="C15" s="115"/>
      <c r="D15" s="115"/>
      <c r="E15" s="115"/>
    </row>
    <row r="16" spans="1:5" x14ac:dyDescent="0.25">
      <c r="A16" s="122" t="s">
        <v>1252</v>
      </c>
      <c r="B16" s="123" t="s">
        <v>1253</v>
      </c>
      <c r="C16" s="115"/>
      <c r="D16" s="115"/>
      <c r="E16" s="115"/>
    </row>
    <row r="17" spans="1:5" ht="26.25" x14ac:dyDescent="0.25">
      <c r="A17" s="124" t="s">
        <v>1254</v>
      </c>
      <c r="B17" s="123" t="s">
        <v>1255</v>
      </c>
      <c r="C17" s="115"/>
      <c r="D17" s="115"/>
      <c r="E17" s="115"/>
    </row>
    <row r="18" spans="1:5" x14ac:dyDescent="0.25">
      <c r="A18" s="122">
        <v>14</v>
      </c>
      <c r="B18" s="123" t="s">
        <v>1256</v>
      </c>
      <c r="C18" s="115"/>
      <c r="D18" s="115"/>
      <c r="E18" s="115"/>
    </row>
    <row r="19" spans="1:5" ht="26.25" x14ac:dyDescent="0.25">
      <c r="A19" s="124">
        <v>15</v>
      </c>
      <c r="B19" s="123" t="s">
        <v>1257</v>
      </c>
      <c r="C19" s="115"/>
      <c r="D19" s="115"/>
      <c r="E19" s="115"/>
    </row>
    <row r="20" spans="1:5" ht="26.25" x14ac:dyDescent="0.25">
      <c r="A20" s="122">
        <v>16</v>
      </c>
      <c r="B20" s="123" t="s">
        <v>1258</v>
      </c>
      <c r="C20" s="115"/>
      <c r="D20" s="115"/>
      <c r="E20" s="115"/>
    </row>
    <row r="21" spans="1:5" x14ac:dyDescent="0.25">
      <c r="A21" s="122" t="s">
        <v>1259</v>
      </c>
      <c r="B21" s="123" t="s">
        <v>1260</v>
      </c>
      <c r="C21" s="115"/>
      <c r="D21" s="115"/>
      <c r="E21" s="115"/>
    </row>
    <row r="22" spans="1:5" x14ac:dyDescent="0.25">
      <c r="A22" s="122">
        <v>19</v>
      </c>
      <c r="B22" s="123" t="s">
        <v>1261</v>
      </c>
      <c r="C22" s="115"/>
      <c r="D22" s="115"/>
      <c r="E22" s="115"/>
    </row>
    <row r="23" spans="1:5" x14ac:dyDescent="0.25">
      <c r="A23" s="122" t="s">
        <v>1262</v>
      </c>
      <c r="B23" s="123" t="s">
        <v>1263</v>
      </c>
      <c r="C23" s="115"/>
      <c r="D23" s="115"/>
      <c r="E23" s="115"/>
    </row>
    <row r="24" spans="1:5" x14ac:dyDescent="0.25">
      <c r="A24" s="122">
        <v>21</v>
      </c>
      <c r="B24" s="123" t="s">
        <v>1264</v>
      </c>
      <c r="C24" s="115"/>
      <c r="D24" s="115"/>
      <c r="E24" s="115"/>
    </row>
    <row r="25" spans="1:5" x14ac:dyDescent="0.25">
      <c r="A25" s="122">
        <v>23</v>
      </c>
      <c r="B25" s="123" t="s">
        <v>1265</v>
      </c>
      <c r="C25" s="115"/>
      <c r="D25" s="115"/>
      <c r="E25" s="115"/>
    </row>
    <row r="26" spans="1:5" x14ac:dyDescent="0.25">
      <c r="A26" s="122">
        <v>24</v>
      </c>
      <c r="B26" s="123" t="s">
        <v>1266</v>
      </c>
      <c r="C26" s="115"/>
      <c r="D26" s="115"/>
      <c r="E26" s="115"/>
    </row>
    <row r="27" spans="1:5" x14ac:dyDescent="0.25">
      <c r="A27" s="122">
        <v>28</v>
      </c>
      <c r="B27" s="123" t="s">
        <v>1267</v>
      </c>
      <c r="C27" s="115"/>
      <c r="D27" s="115"/>
      <c r="E27" s="115"/>
    </row>
    <row r="28" spans="1:5" x14ac:dyDescent="0.25">
      <c r="A28" s="122">
        <v>29</v>
      </c>
      <c r="B28" s="123" t="s">
        <v>1268</v>
      </c>
      <c r="C28" s="115"/>
      <c r="D28" s="115"/>
      <c r="E28" s="115"/>
    </row>
    <row r="29" spans="1:5" ht="39" x14ac:dyDescent="0.25">
      <c r="A29" s="124" t="s">
        <v>1269</v>
      </c>
      <c r="B29" s="123" t="s">
        <v>1270</v>
      </c>
      <c r="C29" s="115"/>
      <c r="D29" s="115"/>
      <c r="E29" s="115"/>
    </row>
    <row r="30" spans="1:5" x14ac:dyDescent="0.25">
      <c r="A30" s="122" t="s">
        <v>1271</v>
      </c>
      <c r="B30" s="123" t="s">
        <v>1272</v>
      </c>
      <c r="C30" s="115"/>
      <c r="D30" s="115"/>
      <c r="E30" s="115"/>
    </row>
    <row r="31" spans="1:5" x14ac:dyDescent="0.25">
      <c r="A31" s="122">
        <v>32</v>
      </c>
      <c r="B31" s="123" t="s">
        <v>1273</v>
      </c>
      <c r="C31" s="115"/>
      <c r="D31" s="115"/>
      <c r="E31" s="115"/>
    </row>
    <row r="32" spans="1:5" x14ac:dyDescent="0.25">
      <c r="A32" s="122">
        <v>34</v>
      </c>
      <c r="B32" s="123" t="s">
        <v>1274</v>
      </c>
      <c r="C32" s="115"/>
      <c r="D32" s="115"/>
      <c r="E32" s="115"/>
    </row>
    <row r="33" spans="1:5" x14ac:dyDescent="0.25">
      <c r="A33" s="122">
        <v>35</v>
      </c>
      <c r="B33" s="123" t="s">
        <v>1275</v>
      </c>
      <c r="C33" s="115"/>
      <c r="D33" s="115"/>
      <c r="E33" s="115"/>
    </row>
    <row r="34" spans="1:5" x14ac:dyDescent="0.25">
      <c r="A34" s="122">
        <v>36</v>
      </c>
      <c r="B34" s="123" t="s">
        <v>1276</v>
      </c>
      <c r="C34" s="115"/>
      <c r="D34" s="115"/>
      <c r="E34" s="115"/>
    </row>
    <row r="35" spans="1:5" x14ac:dyDescent="0.25">
      <c r="A35" s="122">
        <v>37</v>
      </c>
      <c r="B35" s="123" t="s">
        <v>1277</v>
      </c>
      <c r="C35" s="115"/>
      <c r="D35" s="115"/>
      <c r="E35" s="115"/>
    </row>
    <row r="36" spans="1:5" x14ac:dyDescent="0.25">
      <c r="A36" s="122" t="s">
        <v>1278</v>
      </c>
      <c r="B36" s="123" t="s">
        <v>1279</v>
      </c>
      <c r="C36" s="115"/>
      <c r="D36" s="115"/>
      <c r="E36" s="115"/>
    </row>
    <row r="37" spans="1:5" x14ac:dyDescent="0.25">
      <c r="A37" s="122" t="s">
        <v>1280</v>
      </c>
      <c r="B37" s="123" t="s">
        <v>1281</v>
      </c>
      <c r="C37" s="115"/>
      <c r="D37" s="115"/>
      <c r="E37" s="115"/>
    </row>
    <row r="38" spans="1:5" ht="26.25" x14ac:dyDescent="0.25">
      <c r="A38" s="124">
        <v>42</v>
      </c>
      <c r="B38" s="123" t="s">
        <v>1282</v>
      </c>
      <c r="C38" s="115"/>
      <c r="D38" s="115"/>
      <c r="E38" s="115"/>
    </row>
    <row r="39" spans="1:5" x14ac:dyDescent="0.25">
      <c r="A39" s="122">
        <v>43</v>
      </c>
      <c r="B39" s="123" t="s">
        <v>1283</v>
      </c>
      <c r="C39" s="115"/>
      <c r="D39" s="115"/>
      <c r="E39" s="115"/>
    </row>
    <row r="40" spans="1:5" ht="26.25" x14ac:dyDescent="0.25">
      <c r="A40" s="124">
        <v>45</v>
      </c>
      <c r="B40" s="123" t="s">
        <v>1284</v>
      </c>
      <c r="C40" s="115"/>
      <c r="D40" s="115"/>
      <c r="E40" s="115"/>
    </row>
    <row r="41" spans="1:5" x14ac:dyDescent="0.25">
      <c r="A41" s="124">
        <v>55</v>
      </c>
      <c r="B41" s="123" t="s">
        <v>1285</v>
      </c>
      <c r="C41" s="115"/>
      <c r="D41" s="115"/>
      <c r="E41" s="115"/>
    </row>
    <row r="42" spans="1:5" x14ac:dyDescent="0.25">
      <c r="A42" s="122" t="s">
        <v>1286</v>
      </c>
      <c r="B42" s="123" t="s">
        <v>1287</v>
      </c>
      <c r="C42" s="115"/>
      <c r="D42" s="115"/>
      <c r="E42" s="115"/>
    </row>
    <row r="43" spans="1:5" x14ac:dyDescent="0.25">
      <c r="A43" s="122" t="s">
        <v>1288</v>
      </c>
      <c r="B43" s="123" t="s">
        <v>1289</v>
      </c>
      <c r="C43" s="115"/>
      <c r="D43" s="115"/>
      <c r="E43" s="115"/>
    </row>
    <row r="44" spans="1:5" x14ac:dyDescent="0.25">
      <c r="A44" s="122" t="s">
        <v>1290</v>
      </c>
      <c r="B44" s="123" t="s">
        <v>1291</v>
      </c>
      <c r="C44" s="115"/>
      <c r="D44" s="115"/>
      <c r="E44" s="115"/>
    </row>
    <row r="45" spans="1:5" x14ac:dyDescent="0.25">
      <c r="A45" s="122">
        <v>87</v>
      </c>
      <c r="B45" s="123" t="s">
        <v>1292</v>
      </c>
      <c r="C45" s="115"/>
      <c r="D45" s="115"/>
      <c r="E45" s="115"/>
    </row>
    <row r="46" spans="1:5" x14ac:dyDescent="0.25">
      <c r="A46" s="122">
        <v>88</v>
      </c>
      <c r="B46" s="123" t="s">
        <v>1293</v>
      </c>
      <c r="C46" s="115"/>
      <c r="D46" s="115"/>
      <c r="E46" s="115"/>
    </row>
    <row r="47" spans="1:5" x14ac:dyDescent="0.25">
      <c r="A47" s="126"/>
      <c r="B47" s="127"/>
      <c r="C47" s="115"/>
      <c r="D47" s="115"/>
      <c r="E47" s="115"/>
    </row>
    <row r="48" spans="1:5" x14ac:dyDescent="0.25">
      <c r="A48" s="126"/>
      <c r="B48" s="127"/>
      <c r="C48" s="115"/>
      <c r="D48" s="115"/>
      <c r="E48" s="115"/>
    </row>
    <row r="49" spans="1:5" x14ac:dyDescent="0.25">
      <c r="A49" s="117" t="s">
        <v>1232</v>
      </c>
      <c r="B49" s="118" t="s">
        <v>41</v>
      </c>
      <c r="C49" s="115"/>
      <c r="D49" s="115"/>
      <c r="E49" s="115"/>
    </row>
    <row r="50" spans="1:5" x14ac:dyDescent="0.25">
      <c r="A50" s="117" t="s">
        <v>1233</v>
      </c>
      <c r="B50" s="119" t="s">
        <v>1294</v>
      </c>
      <c r="C50" s="115"/>
      <c r="D50" s="115"/>
      <c r="E50" s="115"/>
    </row>
    <row r="51" spans="1:5" x14ac:dyDescent="0.25">
      <c r="A51" s="120" t="s">
        <v>1235</v>
      </c>
      <c r="B51" s="121" t="s">
        <v>1236</v>
      </c>
      <c r="C51" s="115"/>
      <c r="D51" s="115"/>
      <c r="E51" s="115"/>
    </row>
    <row r="52" spans="1:5" x14ac:dyDescent="0.25">
      <c r="A52" s="374" t="s">
        <v>1295</v>
      </c>
      <c r="B52" s="374"/>
      <c r="C52" s="115"/>
      <c r="D52" s="115"/>
      <c r="E52" s="115"/>
    </row>
    <row r="53" spans="1:5" x14ac:dyDescent="0.25">
      <c r="A53" s="375" t="s">
        <v>1296</v>
      </c>
      <c r="B53" s="376"/>
      <c r="C53" s="115"/>
      <c r="D53" s="115"/>
      <c r="E53" s="115"/>
    </row>
    <row r="54" spans="1:5" x14ac:dyDescent="0.25">
      <c r="A54" s="115"/>
      <c r="B54" s="116"/>
      <c r="C54" s="115"/>
      <c r="D54" s="115"/>
      <c r="E54" s="115"/>
    </row>
    <row r="55" spans="1:5" x14ac:dyDescent="0.25">
      <c r="A55" s="115"/>
      <c r="B55" s="115"/>
      <c r="C55" s="115"/>
      <c r="D55" s="115"/>
      <c r="E55" s="115"/>
    </row>
    <row r="56" spans="1:5" x14ac:dyDescent="0.25">
      <c r="A56" s="128" t="s">
        <v>1232</v>
      </c>
      <c r="B56" s="118" t="s">
        <v>1243</v>
      </c>
      <c r="C56" s="115"/>
      <c r="D56" s="115"/>
      <c r="E56" s="115"/>
    </row>
    <row r="57" spans="1:5" x14ac:dyDescent="0.25">
      <c r="A57" s="117" t="s">
        <v>1233</v>
      </c>
      <c r="B57" s="119" t="s">
        <v>1297</v>
      </c>
      <c r="C57" s="115"/>
      <c r="D57" s="115"/>
      <c r="E57" s="115"/>
    </row>
    <row r="58" spans="1:5" x14ac:dyDescent="0.25">
      <c r="A58" s="120" t="s">
        <v>1235</v>
      </c>
      <c r="B58" s="121" t="s">
        <v>1236</v>
      </c>
      <c r="C58" s="115"/>
      <c r="D58" s="115"/>
      <c r="E58" s="115"/>
    </row>
    <row r="59" spans="1:5" x14ac:dyDescent="0.25">
      <c r="A59" s="129" t="s">
        <v>1298</v>
      </c>
      <c r="B59" s="119" t="s">
        <v>1299</v>
      </c>
      <c r="C59" s="115"/>
      <c r="D59" s="115"/>
      <c r="E59" s="115"/>
    </row>
    <row r="60" spans="1:5" x14ac:dyDescent="0.25">
      <c r="A60" s="129" t="s">
        <v>1300</v>
      </c>
      <c r="B60" s="119" t="s">
        <v>1301</v>
      </c>
      <c r="C60" s="115"/>
      <c r="D60" s="115"/>
      <c r="E60" s="115"/>
    </row>
    <row r="61" spans="1:5" x14ac:dyDescent="0.25">
      <c r="A61" s="129" t="s">
        <v>1302</v>
      </c>
      <c r="B61" s="119" t="s">
        <v>1303</v>
      </c>
      <c r="C61" s="115"/>
      <c r="D61" s="115"/>
      <c r="E61" s="115"/>
    </row>
    <row r="62" spans="1:5" x14ac:dyDescent="0.25">
      <c r="A62" s="129" t="s">
        <v>1304</v>
      </c>
      <c r="B62" s="119" t="s">
        <v>1305</v>
      </c>
      <c r="C62" s="115"/>
      <c r="D62" s="115"/>
      <c r="E62" s="115"/>
    </row>
    <row r="63" spans="1:5" x14ac:dyDescent="0.25">
      <c r="A63" s="129" t="s">
        <v>1306</v>
      </c>
      <c r="B63" s="119" t="s">
        <v>1307</v>
      </c>
      <c r="C63" s="115"/>
      <c r="D63" s="115"/>
      <c r="E63" s="115"/>
    </row>
    <row r="64" spans="1:5" x14ac:dyDescent="0.25">
      <c r="A64" s="129" t="s">
        <v>1308</v>
      </c>
      <c r="B64" s="119" t="s">
        <v>1309</v>
      </c>
      <c r="C64" s="115"/>
      <c r="D64" s="115"/>
      <c r="E64" s="115"/>
    </row>
    <row r="65" spans="1:5" x14ac:dyDescent="0.25">
      <c r="A65" s="130" t="s">
        <v>1310</v>
      </c>
      <c r="B65" s="119" t="s">
        <v>1311</v>
      </c>
      <c r="C65" s="115"/>
      <c r="D65" s="115"/>
      <c r="E65" s="115"/>
    </row>
    <row r="66" spans="1:5" x14ac:dyDescent="0.25">
      <c r="A66" s="130" t="s">
        <v>15</v>
      </c>
      <c r="B66" s="119" t="s">
        <v>1312</v>
      </c>
      <c r="C66" s="115"/>
      <c r="D66" s="115"/>
      <c r="E66" s="115"/>
    </row>
    <row r="67" spans="1:5" x14ac:dyDescent="0.25">
      <c r="A67" s="130" t="s">
        <v>1313</v>
      </c>
      <c r="B67" s="119" t="s">
        <v>1314</v>
      </c>
      <c r="C67" s="115"/>
      <c r="D67" s="115"/>
      <c r="E67" s="115"/>
    </row>
    <row r="68" spans="1:5" x14ac:dyDescent="0.25">
      <c r="A68" s="130" t="s">
        <v>1315</v>
      </c>
      <c r="B68" s="119" t="s">
        <v>1316</v>
      </c>
      <c r="C68" s="115"/>
      <c r="D68" s="115"/>
      <c r="E68" s="115"/>
    </row>
    <row r="69" spans="1:5" x14ac:dyDescent="0.25">
      <c r="A69" s="131" t="s">
        <v>1317</v>
      </c>
      <c r="B69" s="132" t="s">
        <v>1318</v>
      </c>
      <c r="C69" s="133"/>
      <c r="D69" s="115"/>
      <c r="E69" s="115"/>
    </row>
    <row r="70" spans="1:5" x14ac:dyDescent="0.25">
      <c r="A70" s="131" t="s">
        <v>1319</v>
      </c>
      <c r="B70" s="132" t="s">
        <v>1320</v>
      </c>
      <c r="C70" s="133"/>
      <c r="D70" s="115"/>
      <c r="E70" s="115"/>
    </row>
    <row r="71" spans="1:5" x14ac:dyDescent="0.25">
      <c r="A71" s="134"/>
      <c r="B71" s="116"/>
      <c r="C71" s="115"/>
      <c r="D71" s="115"/>
      <c r="E71" s="115"/>
    </row>
    <row r="72" spans="1:5" s="2" customFormat="1" x14ac:dyDescent="0.25">
      <c r="A72" s="133"/>
      <c r="B72" s="135"/>
      <c r="C72" s="133"/>
      <c r="D72" s="133"/>
      <c r="E72" s="133"/>
    </row>
    <row r="73" spans="1:5" s="2" customFormat="1" x14ac:dyDescent="0.25">
      <c r="A73" s="128" t="s">
        <v>1232</v>
      </c>
      <c r="B73" s="118" t="s">
        <v>1254</v>
      </c>
      <c r="C73" s="133"/>
      <c r="D73" s="133"/>
      <c r="E73" s="133"/>
    </row>
    <row r="74" spans="1:5" s="2" customFormat="1" x14ac:dyDescent="0.25">
      <c r="A74" s="117" t="s">
        <v>1233</v>
      </c>
      <c r="B74" s="119" t="s">
        <v>1321</v>
      </c>
      <c r="C74" s="133"/>
      <c r="D74" s="133"/>
      <c r="E74" s="133"/>
    </row>
    <row r="75" spans="1:5" s="2" customFormat="1" x14ac:dyDescent="0.25">
      <c r="A75" s="120" t="s">
        <v>1235</v>
      </c>
      <c r="B75" s="121" t="s">
        <v>1236</v>
      </c>
      <c r="C75" s="133"/>
      <c r="D75" s="133"/>
      <c r="E75" s="133"/>
    </row>
    <row r="76" spans="1:5" s="2" customFormat="1" x14ac:dyDescent="0.25">
      <c r="A76" s="374" t="s">
        <v>1322</v>
      </c>
      <c r="B76" s="374"/>
      <c r="C76" s="133"/>
      <c r="D76" s="133"/>
      <c r="E76" s="133"/>
    </row>
    <row r="77" spans="1:5" s="2" customFormat="1" x14ac:dyDescent="0.25">
      <c r="A77" s="371" t="s">
        <v>1323</v>
      </c>
      <c r="B77" s="372"/>
      <c r="C77" s="133"/>
      <c r="D77" s="133"/>
      <c r="E77" s="133"/>
    </row>
    <row r="78" spans="1:5" s="2" customFormat="1" x14ac:dyDescent="0.25">
      <c r="A78" s="136"/>
      <c r="B78" s="137"/>
      <c r="C78" s="133"/>
      <c r="D78" s="133"/>
      <c r="E78" s="133"/>
    </row>
    <row r="79" spans="1:5" x14ac:dyDescent="0.25">
      <c r="A79" s="138"/>
      <c r="B79" s="139"/>
      <c r="C79" s="115"/>
      <c r="D79" s="115"/>
      <c r="E79" s="115"/>
    </row>
    <row r="80" spans="1:5" x14ac:dyDescent="0.25">
      <c r="A80" s="117" t="s">
        <v>1232</v>
      </c>
      <c r="B80" s="118" t="s">
        <v>1259</v>
      </c>
      <c r="C80" s="115"/>
      <c r="D80" s="115"/>
      <c r="E80" s="115"/>
    </row>
    <row r="81" spans="1:5" x14ac:dyDescent="0.25">
      <c r="A81" s="117" t="s">
        <v>1233</v>
      </c>
      <c r="B81" s="119" t="s">
        <v>1324</v>
      </c>
      <c r="C81" s="115"/>
      <c r="D81" s="115"/>
      <c r="E81" s="115"/>
    </row>
    <row r="82" spans="1:5" x14ac:dyDescent="0.25">
      <c r="A82" s="120" t="s">
        <v>1235</v>
      </c>
      <c r="B82" s="121" t="s">
        <v>1236</v>
      </c>
      <c r="C82" s="115"/>
      <c r="D82" s="115"/>
      <c r="E82" s="115"/>
    </row>
    <row r="83" spans="1:5" x14ac:dyDescent="0.25">
      <c r="A83" s="129" t="s">
        <v>39</v>
      </c>
      <c r="B83" s="119" t="s">
        <v>1325</v>
      </c>
      <c r="C83" s="115"/>
      <c r="D83" s="115"/>
      <c r="E83" s="115"/>
    </row>
    <row r="84" spans="1:5" x14ac:dyDescent="0.25">
      <c r="A84" s="129" t="s">
        <v>40</v>
      </c>
      <c r="B84" s="119" t="s">
        <v>1326</v>
      </c>
      <c r="C84" s="115"/>
      <c r="D84" s="115"/>
      <c r="E84" s="115"/>
    </row>
    <row r="85" spans="1:5" x14ac:dyDescent="0.25">
      <c r="A85" s="140"/>
      <c r="B85" s="139"/>
      <c r="C85" s="115"/>
      <c r="D85" s="115"/>
      <c r="E85" s="115"/>
    </row>
    <row r="86" spans="1:5" x14ac:dyDescent="0.25">
      <c r="A86" s="140"/>
      <c r="B86" s="139"/>
      <c r="C86" s="115"/>
      <c r="D86" s="115"/>
      <c r="E86" s="115"/>
    </row>
    <row r="87" spans="1:5" x14ac:dyDescent="0.25">
      <c r="A87" s="117" t="s">
        <v>1232</v>
      </c>
      <c r="B87" s="118" t="s">
        <v>1262</v>
      </c>
      <c r="C87" s="115"/>
      <c r="D87" s="115"/>
      <c r="E87" s="115"/>
    </row>
    <row r="88" spans="1:5" x14ac:dyDescent="0.25">
      <c r="A88" s="117" t="s">
        <v>1233</v>
      </c>
      <c r="B88" s="119" t="s">
        <v>1327</v>
      </c>
      <c r="C88" s="115"/>
      <c r="D88" s="115"/>
      <c r="E88" s="115"/>
    </row>
    <row r="89" spans="1:5" x14ac:dyDescent="0.25">
      <c r="A89" s="120" t="s">
        <v>1235</v>
      </c>
      <c r="B89" s="121" t="s">
        <v>1236</v>
      </c>
      <c r="C89" s="115"/>
      <c r="D89" s="115"/>
      <c r="E89" s="115"/>
    </row>
    <row r="90" spans="1:5" x14ac:dyDescent="0.25">
      <c r="A90" s="129" t="s">
        <v>39</v>
      </c>
      <c r="B90" s="141" t="s">
        <v>1328</v>
      </c>
      <c r="C90" s="115"/>
      <c r="D90" s="115"/>
      <c r="E90" s="115"/>
    </row>
    <row r="91" spans="1:5" x14ac:dyDescent="0.25">
      <c r="A91" s="129" t="s">
        <v>40</v>
      </c>
      <c r="B91" s="141" t="s">
        <v>1329</v>
      </c>
      <c r="C91" s="115"/>
      <c r="D91" s="115"/>
      <c r="E91" s="115"/>
    </row>
    <row r="92" spans="1:5" x14ac:dyDescent="0.25">
      <c r="A92" s="122" t="s">
        <v>41</v>
      </c>
      <c r="B92" s="142" t="s">
        <v>1330</v>
      </c>
      <c r="C92" s="115"/>
      <c r="D92" s="115"/>
      <c r="E92" s="115"/>
    </row>
    <row r="93" spans="1:5" x14ac:dyDescent="0.25">
      <c r="A93" s="122" t="s">
        <v>1239</v>
      </c>
      <c r="B93" s="142" t="s">
        <v>1331</v>
      </c>
      <c r="C93" s="115"/>
      <c r="D93" s="115"/>
      <c r="E93" s="115"/>
    </row>
    <row r="94" spans="1:5" x14ac:dyDescent="0.25">
      <c r="A94" s="122" t="s">
        <v>1241</v>
      </c>
      <c r="B94" s="142" t="s">
        <v>1332</v>
      </c>
      <c r="C94" s="115"/>
      <c r="D94" s="115"/>
      <c r="E94" s="115"/>
    </row>
    <row r="95" spans="1:5" x14ac:dyDescent="0.25">
      <c r="A95" s="122" t="s">
        <v>1243</v>
      </c>
      <c r="B95" s="142" t="s">
        <v>1333</v>
      </c>
      <c r="C95" s="115"/>
      <c r="D95" s="115"/>
      <c r="E95" s="115"/>
    </row>
    <row r="96" spans="1:5" x14ac:dyDescent="0.25">
      <c r="A96" s="122" t="s">
        <v>1245</v>
      </c>
      <c r="B96" s="142" t="s">
        <v>1334</v>
      </c>
      <c r="C96" s="115"/>
      <c r="D96" s="115"/>
      <c r="E96" s="115"/>
    </row>
    <row r="97" spans="1:5" x14ac:dyDescent="0.25">
      <c r="A97" s="122" t="s">
        <v>1247</v>
      </c>
      <c r="B97" s="142" t="s">
        <v>1335</v>
      </c>
      <c r="C97" s="115"/>
      <c r="D97" s="115"/>
      <c r="E97" s="115"/>
    </row>
    <row r="98" spans="1:5" x14ac:dyDescent="0.25">
      <c r="A98" s="122" t="s">
        <v>1249</v>
      </c>
      <c r="B98" s="142" t="s">
        <v>1336</v>
      </c>
      <c r="C98" s="115"/>
      <c r="D98" s="115"/>
      <c r="E98" s="115"/>
    </row>
    <row r="99" spans="1:5" x14ac:dyDescent="0.25">
      <c r="A99" s="122" t="s">
        <v>1254</v>
      </c>
      <c r="B99" s="142" t="s">
        <v>1337</v>
      </c>
      <c r="C99" s="115"/>
      <c r="D99" s="115"/>
      <c r="E99" s="115"/>
    </row>
    <row r="100" spans="1:5" x14ac:dyDescent="0.25">
      <c r="A100" s="122" t="s">
        <v>1338</v>
      </c>
      <c r="B100" s="142" t="s">
        <v>1339</v>
      </c>
      <c r="C100" s="115"/>
      <c r="D100" s="115"/>
      <c r="E100" s="115"/>
    </row>
    <row r="101" spans="1:5" x14ac:dyDescent="0.25">
      <c r="A101" s="143">
        <v>17</v>
      </c>
      <c r="B101" s="142" t="s">
        <v>1340</v>
      </c>
      <c r="C101" s="115"/>
      <c r="D101" s="115"/>
      <c r="E101" s="115"/>
    </row>
    <row r="102" spans="1:5" x14ac:dyDescent="0.25">
      <c r="A102" s="129" t="s">
        <v>1259</v>
      </c>
      <c r="B102" s="141" t="s">
        <v>1341</v>
      </c>
      <c r="C102" s="115"/>
      <c r="D102" s="115"/>
      <c r="E102" s="115"/>
    </row>
    <row r="103" spans="1:5" x14ac:dyDescent="0.25">
      <c r="A103" s="140"/>
      <c r="B103" s="139"/>
      <c r="C103" s="115"/>
      <c r="D103" s="115"/>
      <c r="E103" s="115"/>
    </row>
    <row r="104" spans="1:5" x14ac:dyDescent="0.25">
      <c r="A104" s="144"/>
      <c r="B104" s="116"/>
      <c r="C104" s="115"/>
      <c r="D104" s="115"/>
      <c r="E104" s="115"/>
    </row>
    <row r="105" spans="1:5" x14ac:dyDescent="0.25">
      <c r="A105" s="117" t="s">
        <v>1232</v>
      </c>
      <c r="B105" s="118" t="s">
        <v>1342</v>
      </c>
      <c r="C105" s="115"/>
      <c r="D105" s="115"/>
      <c r="E105" s="115"/>
    </row>
    <row r="106" spans="1:5" x14ac:dyDescent="0.25">
      <c r="A106" s="117" t="s">
        <v>1233</v>
      </c>
      <c r="B106" s="119" t="s">
        <v>1343</v>
      </c>
      <c r="C106" s="115"/>
      <c r="D106" s="115"/>
      <c r="E106" s="115"/>
    </row>
    <row r="107" spans="1:5" x14ac:dyDescent="0.25">
      <c r="A107" s="120" t="s">
        <v>1235</v>
      </c>
      <c r="B107" s="121" t="s">
        <v>1236</v>
      </c>
      <c r="C107" s="115"/>
      <c r="D107" s="115"/>
      <c r="E107" s="115"/>
    </row>
    <row r="108" spans="1:5" x14ac:dyDescent="0.25">
      <c r="A108" s="377" t="s">
        <v>1344</v>
      </c>
      <c r="B108" s="377"/>
      <c r="C108" s="115"/>
      <c r="D108" s="115"/>
      <c r="E108" s="115"/>
    </row>
    <row r="109" spans="1:5" x14ac:dyDescent="0.25">
      <c r="A109" s="378" t="s">
        <v>1345</v>
      </c>
      <c r="B109" s="379"/>
      <c r="C109" s="115"/>
      <c r="D109" s="115"/>
      <c r="E109" s="115"/>
    </row>
    <row r="110" spans="1:5" x14ac:dyDescent="0.25">
      <c r="A110" s="145"/>
      <c r="B110" s="139"/>
      <c r="C110" s="115"/>
      <c r="D110" s="115"/>
      <c r="E110" s="115"/>
    </row>
    <row r="111" spans="1:5" x14ac:dyDescent="0.25">
      <c r="A111" s="145"/>
      <c r="B111" s="139"/>
      <c r="C111" s="115"/>
      <c r="D111" s="115"/>
      <c r="E111" s="115"/>
    </row>
    <row r="112" spans="1:5" x14ac:dyDescent="0.25">
      <c r="A112" s="117" t="s">
        <v>1232</v>
      </c>
      <c r="B112" s="146">
        <v>52</v>
      </c>
      <c r="C112" s="115"/>
      <c r="D112" s="115"/>
      <c r="E112" s="115"/>
    </row>
    <row r="113" spans="1:5" x14ac:dyDescent="0.25">
      <c r="A113" s="117" t="s">
        <v>1233</v>
      </c>
      <c r="B113" s="119" t="s">
        <v>1346</v>
      </c>
      <c r="C113" s="115"/>
      <c r="D113" s="115"/>
      <c r="E113" s="115"/>
    </row>
    <row r="114" spans="1:5" x14ac:dyDescent="0.25">
      <c r="A114" s="120" t="s">
        <v>1235</v>
      </c>
      <c r="B114" s="121" t="s">
        <v>1236</v>
      </c>
      <c r="C114" s="115"/>
      <c r="D114" s="115"/>
      <c r="E114" s="115"/>
    </row>
    <row r="115" spans="1:5" x14ac:dyDescent="0.25">
      <c r="A115" s="147">
        <v>1000</v>
      </c>
      <c r="B115" s="148" t="s">
        <v>1347</v>
      </c>
      <c r="C115" s="115"/>
      <c r="D115" s="115"/>
      <c r="E115" s="115"/>
    </row>
    <row r="116" spans="1:5" x14ac:dyDescent="0.25">
      <c r="A116" s="147">
        <v>1002</v>
      </c>
      <c r="B116" s="149" t="s">
        <v>1348</v>
      </c>
      <c r="C116" s="115"/>
      <c r="D116" s="115"/>
      <c r="E116" s="115"/>
    </row>
    <row r="117" spans="1:5" x14ac:dyDescent="0.25">
      <c r="A117" s="147">
        <v>2000</v>
      </c>
      <c r="B117" s="149" t="s">
        <v>1349</v>
      </c>
      <c r="C117" s="115"/>
      <c r="D117" s="115"/>
      <c r="E117" s="115"/>
    </row>
    <row r="118" spans="1:5" ht="26.25" x14ac:dyDescent="0.25">
      <c r="A118" s="147">
        <v>2001</v>
      </c>
      <c r="B118" s="150" t="s">
        <v>1350</v>
      </c>
      <c r="C118" s="115"/>
      <c r="D118" s="115"/>
      <c r="E118" s="115"/>
    </row>
    <row r="119" spans="1:5" ht="26.25" x14ac:dyDescent="0.25">
      <c r="A119" s="147">
        <v>2002</v>
      </c>
      <c r="B119" s="150" t="s">
        <v>1351</v>
      </c>
      <c r="C119" s="115"/>
      <c r="D119" s="115"/>
      <c r="E119" s="115"/>
    </row>
    <row r="120" spans="1:5" x14ac:dyDescent="0.25">
      <c r="A120" s="147">
        <v>2003</v>
      </c>
      <c r="B120" s="149" t="s">
        <v>1352</v>
      </c>
      <c r="C120" s="115"/>
      <c r="D120" s="115"/>
      <c r="E120" s="115"/>
    </row>
    <row r="121" spans="1:5" x14ac:dyDescent="0.25">
      <c r="A121" s="147">
        <v>2004</v>
      </c>
      <c r="B121" s="149" t="s">
        <v>1353</v>
      </c>
      <c r="C121" s="115"/>
      <c r="D121" s="115"/>
      <c r="E121" s="115"/>
    </row>
    <row r="122" spans="1:5" x14ac:dyDescent="0.25">
      <c r="A122" s="147">
        <v>2005</v>
      </c>
      <c r="B122" s="149" t="s">
        <v>1354</v>
      </c>
      <c r="C122" s="115"/>
      <c r="D122" s="115"/>
      <c r="E122" s="115"/>
    </row>
    <row r="123" spans="1:5" x14ac:dyDescent="0.25">
      <c r="A123" s="147">
        <v>2006</v>
      </c>
      <c r="B123" s="149" t="s">
        <v>1355</v>
      </c>
      <c r="C123" s="115"/>
      <c r="D123" s="115"/>
      <c r="E123" s="115"/>
    </row>
    <row r="124" spans="1:5" x14ac:dyDescent="0.25">
      <c r="A124" s="147" t="s">
        <v>1356</v>
      </c>
      <c r="B124" s="149" t="s">
        <v>1357</v>
      </c>
      <c r="C124" s="115"/>
      <c r="D124" s="115"/>
      <c r="E124" s="115"/>
    </row>
    <row r="125" spans="1:5" ht="26.25" x14ac:dyDescent="0.25">
      <c r="A125" s="147">
        <v>2008</v>
      </c>
      <c r="B125" s="150" t="s">
        <v>1358</v>
      </c>
      <c r="C125" s="115"/>
      <c r="D125" s="115"/>
      <c r="E125" s="115"/>
    </row>
    <row r="126" spans="1:5" ht="26.25" x14ac:dyDescent="0.25">
      <c r="A126" s="147">
        <v>2009</v>
      </c>
      <c r="B126" s="150" t="s">
        <v>1359</v>
      </c>
      <c r="C126" s="115"/>
      <c r="D126" s="115"/>
      <c r="E126" s="115"/>
    </row>
    <row r="127" spans="1:5" x14ac:dyDescent="0.25">
      <c r="A127" s="147" t="s">
        <v>149</v>
      </c>
      <c r="B127" s="150" t="s">
        <v>1360</v>
      </c>
      <c r="C127" s="115"/>
      <c r="D127" s="115"/>
      <c r="E127" s="115"/>
    </row>
    <row r="128" spans="1:5" x14ac:dyDescent="0.25">
      <c r="A128" s="147" t="s">
        <v>152</v>
      </c>
      <c r="B128" s="150" t="s">
        <v>1361</v>
      </c>
      <c r="C128" s="115"/>
      <c r="D128" s="115"/>
      <c r="E128" s="115"/>
    </row>
    <row r="129" spans="1:5" x14ac:dyDescent="0.25">
      <c r="A129" s="151" t="s">
        <v>1362</v>
      </c>
      <c r="B129" s="123" t="s">
        <v>1363</v>
      </c>
      <c r="C129" s="115"/>
      <c r="D129" s="115"/>
      <c r="E129" s="115"/>
    </row>
    <row r="130" spans="1:5" x14ac:dyDescent="0.25">
      <c r="A130" s="145"/>
      <c r="B130" s="139"/>
      <c r="C130" s="115"/>
      <c r="D130" s="115"/>
      <c r="E130" s="115"/>
    </row>
    <row r="131" spans="1:5" s="2" customFormat="1" x14ac:dyDescent="0.25">
      <c r="A131" s="133"/>
      <c r="B131" s="135"/>
      <c r="C131" s="133"/>
      <c r="D131" s="133"/>
      <c r="E131" s="133"/>
    </row>
    <row r="132" spans="1:5" s="2" customFormat="1" x14ac:dyDescent="0.25">
      <c r="A132" s="117" t="s">
        <v>1232</v>
      </c>
      <c r="B132" s="146">
        <v>55</v>
      </c>
      <c r="C132" s="133"/>
      <c r="D132" s="133"/>
      <c r="E132" s="133"/>
    </row>
    <row r="133" spans="1:5" s="2" customFormat="1" x14ac:dyDescent="0.25">
      <c r="A133" s="117" t="s">
        <v>1233</v>
      </c>
      <c r="B133" s="119" t="s">
        <v>1364</v>
      </c>
      <c r="C133" s="133"/>
      <c r="D133" s="133"/>
      <c r="E133" s="133"/>
    </row>
    <row r="134" spans="1:5" s="2" customFormat="1" x14ac:dyDescent="0.25">
      <c r="A134" s="120" t="s">
        <v>1235</v>
      </c>
      <c r="B134" s="121" t="s">
        <v>1236</v>
      </c>
      <c r="C134" s="133"/>
      <c r="D134" s="133"/>
      <c r="E134" s="133"/>
    </row>
    <row r="135" spans="1:5" s="2" customFormat="1" x14ac:dyDescent="0.25">
      <c r="A135" s="151" t="s">
        <v>1365</v>
      </c>
      <c r="B135" s="152" t="s">
        <v>1366</v>
      </c>
      <c r="C135" s="133"/>
      <c r="D135" s="133"/>
      <c r="E135" s="133"/>
    </row>
    <row r="136" spans="1:5" s="2" customFormat="1" x14ac:dyDescent="0.25">
      <c r="A136" s="151" t="s">
        <v>883</v>
      </c>
      <c r="B136" s="152" t="s">
        <v>1367</v>
      </c>
      <c r="C136" s="133"/>
      <c r="D136" s="133"/>
      <c r="E136" s="133"/>
    </row>
    <row r="137" spans="1:5" s="2" customFormat="1" x14ac:dyDescent="0.25">
      <c r="A137" s="151" t="s">
        <v>1368</v>
      </c>
      <c r="B137" s="152" t="s">
        <v>1369</v>
      </c>
      <c r="C137" s="133"/>
      <c r="D137" s="133"/>
      <c r="E137" s="133"/>
    </row>
    <row r="138" spans="1:5" s="2" customFormat="1" x14ac:dyDescent="0.25">
      <c r="A138" s="151" t="s">
        <v>1370</v>
      </c>
      <c r="B138" s="152" t="s">
        <v>1371</v>
      </c>
      <c r="C138" s="133"/>
      <c r="D138" s="133"/>
      <c r="E138" s="133"/>
    </row>
    <row r="139" spans="1:5" s="2" customFormat="1" x14ac:dyDescent="0.25">
      <c r="A139" s="151" t="s">
        <v>1372</v>
      </c>
      <c r="B139" s="152" t="s">
        <v>1373</v>
      </c>
      <c r="C139" s="133"/>
      <c r="D139" s="133"/>
      <c r="E139" s="133"/>
    </row>
    <row r="140" spans="1:5" s="2" customFormat="1" x14ac:dyDescent="0.25">
      <c r="A140" s="151" t="s">
        <v>1374</v>
      </c>
      <c r="B140" s="152" t="s">
        <v>1375</v>
      </c>
      <c r="C140" s="133"/>
      <c r="D140" s="133"/>
      <c r="E140" s="133"/>
    </row>
    <row r="141" spans="1:5" s="2" customFormat="1" x14ac:dyDescent="0.25">
      <c r="A141" s="151" t="s">
        <v>1376</v>
      </c>
      <c r="B141" s="152" t="s">
        <v>1377</v>
      </c>
      <c r="C141" s="133"/>
      <c r="D141" s="133"/>
      <c r="E141" s="133"/>
    </row>
    <row r="142" spans="1:5" s="2" customFormat="1" x14ac:dyDescent="0.25">
      <c r="A142" s="151" t="s">
        <v>1378</v>
      </c>
      <c r="B142" s="123" t="s">
        <v>1379</v>
      </c>
      <c r="C142" s="133"/>
      <c r="D142" s="133"/>
      <c r="E142" s="133"/>
    </row>
    <row r="143" spans="1:5" s="2" customFormat="1" x14ac:dyDescent="0.25">
      <c r="A143" s="151" t="s">
        <v>1380</v>
      </c>
      <c r="B143" s="152" t="s">
        <v>1381</v>
      </c>
      <c r="C143" s="133"/>
      <c r="D143" s="133"/>
      <c r="E143" s="133"/>
    </row>
    <row r="144" spans="1:5" s="2" customFormat="1" x14ac:dyDescent="0.25">
      <c r="A144" s="151" t="s">
        <v>1382</v>
      </c>
      <c r="B144" s="152" t="s">
        <v>1383</v>
      </c>
      <c r="C144" s="133"/>
      <c r="D144" s="133"/>
      <c r="E144" s="133"/>
    </row>
    <row r="145" spans="1:5" s="2" customFormat="1" x14ac:dyDescent="0.25">
      <c r="A145" s="151" t="s">
        <v>1384</v>
      </c>
      <c r="B145" s="152" t="s">
        <v>1385</v>
      </c>
      <c r="C145" s="133"/>
      <c r="D145" s="133"/>
      <c r="E145" s="133"/>
    </row>
    <row r="146" spans="1:5" s="2" customFormat="1" x14ac:dyDescent="0.25">
      <c r="A146" s="151" t="s">
        <v>1386</v>
      </c>
      <c r="B146" s="152" t="s">
        <v>1387</v>
      </c>
      <c r="C146" s="133"/>
      <c r="D146" s="133"/>
      <c r="E146" s="133"/>
    </row>
    <row r="147" spans="1:5" s="2" customFormat="1" x14ac:dyDescent="0.25">
      <c r="A147" s="151" t="s">
        <v>1388</v>
      </c>
      <c r="B147" s="152" t="s">
        <v>1389</v>
      </c>
      <c r="C147" s="133"/>
      <c r="D147" s="133"/>
      <c r="E147" s="133"/>
    </row>
    <row r="148" spans="1:5" s="2" customFormat="1" x14ac:dyDescent="0.25">
      <c r="A148" s="151" t="s">
        <v>1390</v>
      </c>
      <c r="B148" s="152" t="s">
        <v>1391</v>
      </c>
      <c r="C148" s="133"/>
      <c r="D148" s="133"/>
      <c r="E148" s="133"/>
    </row>
    <row r="149" spans="1:5" s="2" customFormat="1" x14ac:dyDescent="0.25">
      <c r="A149" s="151" t="s">
        <v>1392</v>
      </c>
      <c r="B149" s="152" t="s">
        <v>1393</v>
      </c>
      <c r="C149" s="133"/>
      <c r="D149" s="133"/>
      <c r="E149" s="133"/>
    </row>
    <row r="150" spans="1:5" s="2" customFormat="1" x14ac:dyDescent="0.25">
      <c r="A150" s="151" t="s">
        <v>1394</v>
      </c>
      <c r="B150" s="152" t="s">
        <v>1395</v>
      </c>
      <c r="C150" s="133"/>
      <c r="D150" s="133"/>
      <c r="E150" s="133"/>
    </row>
    <row r="151" spans="1:5" s="2" customFormat="1" x14ac:dyDescent="0.25">
      <c r="A151" s="151" t="s">
        <v>1396</v>
      </c>
      <c r="B151" s="152" t="s">
        <v>1397</v>
      </c>
      <c r="C151" s="133"/>
      <c r="D151" s="133"/>
      <c r="E151" s="133"/>
    </row>
    <row r="152" spans="1:5" s="2" customFormat="1" x14ac:dyDescent="0.25">
      <c r="A152" s="151" t="s">
        <v>1398</v>
      </c>
      <c r="B152" s="152" t="s">
        <v>1399</v>
      </c>
      <c r="C152" s="133"/>
      <c r="D152" s="133"/>
      <c r="E152" s="133"/>
    </row>
    <row r="153" spans="1:5" s="2" customFormat="1" x14ac:dyDescent="0.25">
      <c r="A153" s="151" t="s">
        <v>1400</v>
      </c>
      <c r="B153" s="152" t="s">
        <v>1401</v>
      </c>
      <c r="C153" s="133"/>
      <c r="D153" s="133"/>
      <c r="E153" s="133"/>
    </row>
    <row r="154" spans="1:5" s="2" customFormat="1" x14ac:dyDescent="0.25">
      <c r="A154" s="151">
        <v>4002</v>
      </c>
      <c r="B154" s="152" t="s">
        <v>1402</v>
      </c>
      <c r="C154" s="133"/>
      <c r="D154" s="133"/>
      <c r="E154" s="133"/>
    </row>
    <row r="155" spans="1:5" s="2" customFormat="1" x14ac:dyDescent="0.25">
      <c r="A155" s="151">
        <v>4003</v>
      </c>
      <c r="B155" s="152" t="s">
        <v>1403</v>
      </c>
      <c r="C155" s="133"/>
      <c r="D155" s="133"/>
      <c r="E155" s="133"/>
    </row>
    <row r="156" spans="1:5" s="2" customFormat="1" x14ac:dyDescent="0.25">
      <c r="A156" s="151">
        <v>4004</v>
      </c>
      <c r="B156" s="152" t="s">
        <v>1404</v>
      </c>
      <c r="C156" s="133"/>
      <c r="D156" s="133"/>
      <c r="E156" s="133"/>
    </row>
    <row r="157" spans="1:5" s="2" customFormat="1" x14ac:dyDescent="0.25">
      <c r="A157" s="151">
        <v>4005</v>
      </c>
      <c r="B157" s="152" t="s">
        <v>1405</v>
      </c>
      <c r="C157" s="133"/>
      <c r="D157" s="133"/>
      <c r="E157" s="133"/>
    </row>
    <row r="158" spans="1:5" s="2" customFormat="1" x14ac:dyDescent="0.25">
      <c r="A158" s="151">
        <v>4006</v>
      </c>
      <c r="B158" s="152" t="s">
        <v>1406</v>
      </c>
      <c r="C158" s="133"/>
      <c r="D158" s="133"/>
      <c r="E158" s="133"/>
    </row>
    <row r="159" spans="1:5" s="2" customFormat="1" x14ac:dyDescent="0.25">
      <c r="A159" s="151">
        <v>4007</v>
      </c>
      <c r="B159" s="152" t="s">
        <v>1407</v>
      </c>
      <c r="C159" s="133"/>
      <c r="D159" s="133"/>
      <c r="E159" s="133"/>
    </row>
    <row r="160" spans="1:5" s="2" customFormat="1" x14ac:dyDescent="0.25">
      <c r="A160" s="151">
        <v>4008</v>
      </c>
      <c r="B160" s="152" t="s">
        <v>1408</v>
      </c>
      <c r="C160" s="133"/>
      <c r="D160" s="133"/>
      <c r="E160" s="133"/>
    </row>
    <row r="161" spans="1:5" s="2" customFormat="1" x14ac:dyDescent="0.25">
      <c r="A161" s="151">
        <v>4009</v>
      </c>
      <c r="B161" s="152" t="s">
        <v>1409</v>
      </c>
      <c r="C161" s="133"/>
      <c r="D161" s="133"/>
      <c r="E161" s="133"/>
    </row>
    <row r="162" spans="1:5" s="2" customFormat="1" x14ac:dyDescent="0.25">
      <c r="A162" s="151" t="s">
        <v>1410</v>
      </c>
      <c r="B162" s="152" t="s">
        <v>1411</v>
      </c>
      <c r="C162" s="133"/>
      <c r="D162" s="133"/>
      <c r="E162" s="133"/>
    </row>
    <row r="163" spans="1:5" s="2" customFormat="1" x14ac:dyDescent="0.25">
      <c r="A163" s="151" t="s">
        <v>1412</v>
      </c>
      <c r="B163" s="152" t="s">
        <v>1413</v>
      </c>
      <c r="C163" s="133"/>
      <c r="D163" s="133"/>
      <c r="E163" s="133"/>
    </row>
    <row r="164" spans="1:5" s="2" customFormat="1" x14ac:dyDescent="0.25">
      <c r="A164" s="151" t="s">
        <v>1414</v>
      </c>
      <c r="B164" s="152" t="s">
        <v>1415</v>
      </c>
      <c r="C164" s="133"/>
      <c r="D164" s="133"/>
      <c r="E164" s="133"/>
    </row>
    <row r="165" spans="1:5" s="2" customFormat="1" x14ac:dyDescent="0.25">
      <c r="A165" s="151" t="s">
        <v>1416</v>
      </c>
      <c r="B165" s="152" t="s">
        <v>1417</v>
      </c>
      <c r="C165" s="133"/>
      <c r="D165" s="133"/>
      <c r="E165" s="133"/>
    </row>
    <row r="166" spans="1:5" s="2" customFormat="1" x14ac:dyDescent="0.25">
      <c r="A166" s="151" t="s">
        <v>1418</v>
      </c>
      <c r="B166" s="152" t="s">
        <v>1419</v>
      </c>
      <c r="C166" s="133"/>
      <c r="D166" s="133"/>
      <c r="E166" s="133"/>
    </row>
    <row r="167" spans="1:5" s="2" customFormat="1" x14ac:dyDescent="0.25">
      <c r="A167" s="151" t="s">
        <v>1420</v>
      </c>
      <c r="B167" s="152" t="s">
        <v>1421</v>
      </c>
      <c r="C167" s="133"/>
      <c r="D167" s="133"/>
      <c r="E167" s="133"/>
    </row>
    <row r="168" spans="1:5" s="2" customFormat="1" x14ac:dyDescent="0.25">
      <c r="A168" s="151" t="s">
        <v>1422</v>
      </c>
      <c r="B168" s="152" t="s">
        <v>1423</v>
      </c>
      <c r="C168" s="133"/>
      <c r="D168" s="133"/>
      <c r="E168" s="133"/>
    </row>
    <row r="169" spans="1:5" s="2" customFormat="1" x14ac:dyDescent="0.25">
      <c r="A169" s="151" t="s">
        <v>1424</v>
      </c>
      <c r="B169" s="152" t="s">
        <v>1425</v>
      </c>
      <c r="C169" s="133"/>
      <c r="D169" s="133"/>
      <c r="E169" s="133"/>
    </row>
    <row r="170" spans="1:5" s="2" customFormat="1" x14ac:dyDescent="0.25">
      <c r="A170" s="151" t="s">
        <v>1426</v>
      </c>
      <c r="B170" s="152" t="s">
        <v>1427</v>
      </c>
      <c r="C170" s="133"/>
      <c r="D170" s="133"/>
      <c r="E170" s="133"/>
    </row>
    <row r="171" spans="1:5" s="2" customFormat="1" x14ac:dyDescent="0.25">
      <c r="A171" s="151" t="s">
        <v>1428</v>
      </c>
      <c r="B171" s="152" t="s">
        <v>1429</v>
      </c>
      <c r="C171" s="133"/>
      <c r="D171" s="133"/>
      <c r="E171" s="133"/>
    </row>
    <row r="172" spans="1:5" s="2" customFormat="1" x14ac:dyDescent="0.25">
      <c r="A172" s="151" t="s">
        <v>1430</v>
      </c>
      <c r="B172" s="152" t="s">
        <v>1431</v>
      </c>
      <c r="C172" s="133"/>
      <c r="D172" s="133"/>
      <c r="E172" s="133"/>
    </row>
    <row r="173" spans="1:5" s="2" customFormat="1" x14ac:dyDescent="0.25">
      <c r="A173" s="151" t="s">
        <v>1432</v>
      </c>
      <c r="B173" s="152" t="s">
        <v>1433</v>
      </c>
      <c r="C173" s="133"/>
      <c r="D173" s="133"/>
      <c r="E173" s="133"/>
    </row>
    <row r="174" spans="1:5" s="2" customFormat="1" x14ac:dyDescent="0.25">
      <c r="A174" s="151" t="s">
        <v>1434</v>
      </c>
      <c r="B174" s="152" t="s">
        <v>1435</v>
      </c>
      <c r="C174" s="133"/>
      <c r="D174" s="133"/>
      <c r="E174" s="133"/>
    </row>
    <row r="175" spans="1:5" s="2" customFormat="1" x14ac:dyDescent="0.25">
      <c r="A175" s="153" t="s">
        <v>1436</v>
      </c>
      <c r="B175" s="154" t="s">
        <v>1437</v>
      </c>
      <c r="C175" s="133"/>
      <c r="D175" s="133"/>
      <c r="E175" s="133"/>
    </row>
    <row r="176" spans="1:5" s="2" customFormat="1" x14ac:dyDescent="0.25">
      <c r="A176" s="151" t="s">
        <v>1438</v>
      </c>
      <c r="B176" s="152" t="s">
        <v>1439</v>
      </c>
      <c r="C176" s="133"/>
      <c r="D176" s="133"/>
      <c r="E176" s="133"/>
    </row>
    <row r="177" spans="1:5" s="2" customFormat="1" x14ac:dyDescent="0.25">
      <c r="A177" s="151" t="s">
        <v>1440</v>
      </c>
      <c r="B177" s="152" t="s">
        <v>1441</v>
      </c>
      <c r="C177" s="133"/>
      <c r="D177" s="133"/>
      <c r="E177" s="133"/>
    </row>
    <row r="178" spans="1:5" s="2" customFormat="1" x14ac:dyDescent="0.25">
      <c r="A178" s="151" t="s">
        <v>1442</v>
      </c>
      <c r="B178" s="152" t="s">
        <v>1443</v>
      </c>
      <c r="C178" s="133"/>
      <c r="D178" s="133"/>
      <c r="E178" s="133"/>
    </row>
    <row r="179" spans="1:5" s="2" customFormat="1" x14ac:dyDescent="0.25">
      <c r="A179" s="151" t="s">
        <v>1444</v>
      </c>
      <c r="B179" s="152" t="s">
        <v>1445</v>
      </c>
      <c r="C179" s="133"/>
      <c r="D179" s="133"/>
      <c r="E179" s="133"/>
    </row>
    <row r="180" spans="1:5" s="2" customFormat="1" x14ac:dyDescent="0.25">
      <c r="A180" s="151" t="s">
        <v>1446</v>
      </c>
      <c r="B180" s="152" t="s">
        <v>1447</v>
      </c>
      <c r="C180" s="133"/>
      <c r="D180" s="133"/>
      <c r="E180" s="133"/>
    </row>
    <row r="181" spans="1:5" s="2" customFormat="1" x14ac:dyDescent="0.25">
      <c r="A181" s="151">
        <v>5000</v>
      </c>
      <c r="B181" s="152" t="s">
        <v>1448</v>
      </c>
      <c r="C181" s="133"/>
      <c r="D181" s="133"/>
      <c r="E181" s="133"/>
    </row>
    <row r="182" spans="1:5" s="2" customFormat="1" x14ac:dyDescent="0.25">
      <c r="A182" s="151">
        <v>5001</v>
      </c>
      <c r="B182" s="152" t="s">
        <v>1449</v>
      </c>
      <c r="C182" s="133"/>
      <c r="D182" s="133"/>
      <c r="E182" s="133"/>
    </row>
    <row r="183" spans="1:5" s="2" customFormat="1" x14ac:dyDescent="0.25">
      <c r="A183" s="151">
        <v>5002</v>
      </c>
      <c r="B183" s="152" t="s">
        <v>1450</v>
      </c>
      <c r="C183" s="133"/>
      <c r="D183" s="133"/>
      <c r="E183" s="133"/>
    </row>
    <row r="184" spans="1:5" s="2" customFormat="1" x14ac:dyDescent="0.25">
      <c r="A184" s="151">
        <v>5003</v>
      </c>
      <c r="B184" s="152" t="s">
        <v>1451</v>
      </c>
      <c r="C184" s="133"/>
      <c r="D184" s="133"/>
      <c r="E184" s="133"/>
    </row>
    <row r="185" spans="1:5" s="2" customFormat="1" x14ac:dyDescent="0.25">
      <c r="A185" s="151" t="s">
        <v>1452</v>
      </c>
      <c r="B185" s="152" t="s">
        <v>1453</v>
      </c>
      <c r="C185" s="133"/>
      <c r="D185" s="133"/>
      <c r="E185" s="133"/>
    </row>
    <row r="186" spans="1:5" s="2" customFormat="1" x14ac:dyDescent="0.25">
      <c r="A186" s="151" t="s">
        <v>1454</v>
      </c>
      <c r="B186" s="152" t="s">
        <v>1455</v>
      </c>
      <c r="C186" s="133"/>
      <c r="D186" s="133"/>
      <c r="E186" s="133"/>
    </row>
    <row r="187" spans="1:5" s="2" customFormat="1" x14ac:dyDescent="0.25">
      <c r="A187" s="151" t="s">
        <v>1456</v>
      </c>
      <c r="B187" s="152" t="s">
        <v>1457</v>
      </c>
      <c r="C187" s="133"/>
      <c r="D187" s="133"/>
      <c r="E187" s="133"/>
    </row>
    <row r="188" spans="1:5" s="2" customFormat="1" x14ac:dyDescent="0.25">
      <c r="A188" s="151" t="s">
        <v>1458</v>
      </c>
      <c r="B188" s="152" t="s">
        <v>1459</v>
      </c>
      <c r="C188" s="133"/>
      <c r="D188" s="133"/>
      <c r="E188" s="133"/>
    </row>
    <row r="189" spans="1:5" s="2" customFormat="1" x14ac:dyDescent="0.25">
      <c r="A189" s="151" t="s">
        <v>1460</v>
      </c>
      <c r="B189" s="152" t="s">
        <v>1461</v>
      </c>
      <c r="C189" s="133"/>
      <c r="D189" s="133"/>
      <c r="E189" s="133"/>
    </row>
    <row r="190" spans="1:5" s="2" customFormat="1" x14ac:dyDescent="0.25">
      <c r="A190" s="151" t="s">
        <v>1462</v>
      </c>
      <c r="B190" s="152" t="s">
        <v>1463</v>
      </c>
      <c r="C190" s="133"/>
      <c r="D190" s="133"/>
      <c r="E190" s="133"/>
    </row>
    <row r="191" spans="1:5" s="2" customFormat="1" x14ac:dyDescent="0.25">
      <c r="A191" s="151" t="s">
        <v>1464</v>
      </c>
      <c r="B191" s="152" t="s">
        <v>1465</v>
      </c>
      <c r="C191" s="133"/>
      <c r="D191" s="133"/>
      <c r="E191" s="133"/>
    </row>
    <row r="192" spans="1:5" s="2" customFormat="1" x14ac:dyDescent="0.25">
      <c r="A192" s="151" t="s">
        <v>1466</v>
      </c>
      <c r="B192" s="152" t="s">
        <v>1467</v>
      </c>
      <c r="C192" s="133"/>
      <c r="D192" s="133"/>
      <c r="E192" s="133"/>
    </row>
    <row r="193" spans="1:5" s="2" customFormat="1" x14ac:dyDescent="0.25">
      <c r="A193" s="151" t="s">
        <v>1468</v>
      </c>
      <c r="B193" s="152" t="s">
        <v>1469</v>
      </c>
      <c r="C193" s="133"/>
      <c r="D193" s="133"/>
      <c r="E193" s="133"/>
    </row>
    <row r="194" spans="1:5" s="2" customFormat="1" x14ac:dyDescent="0.25">
      <c r="A194" s="151" t="s">
        <v>1470</v>
      </c>
      <c r="B194" s="152" t="s">
        <v>1471</v>
      </c>
      <c r="C194" s="133"/>
      <c r="D194" s="133"/>
      <c r="E194" s="133"/>
    </row>
    <row r="195" spans="1:5" s="2" customFormat="1" x14ac:dyDescent="0.25">
      <c r="A195" s="151" t="s">
        <v>1472</v>
      </c>
      <c r="B195" s="152" t="s">
        <v>1473</v>
      </c>
      <c r="C195" s="133"/>
      <c r="D195" s="133"/>
      <c r="E195" s="133"/>
    </row>
    <row r="196" spans="1:5" s="2" customFormat="1" x14ac:dyDescent="0.25">
      <c r="A196" s="151" t="s">
        <v>1474</v>
      </c>
      <c r="B196" s="152" t="s">
        <v>1475</v>
      </c>
      <c r="C196" s="133"/>
      <c r="D196" s="133"/>
      <c r="E196" s="133"/>
    </row>
    <row r="197" spans="1:5" s="2" customFormat="1" x14ac:dyDescent="0.25">
      <c r="A197" s="151" t="s">
        <v>1476</v>
      </c>
      <c r="B197" s="152" t="s">
        <v>1477</v>
      </c>
      <c r="C197" s="133"/>
      <c r="D197" s="133"/>
      <c r="E197" s="133"/>
    </row>
    <row r="198" spans="1:5" s="2" customFormat="1" x14ac:dyDescent="0.25">
      <c r="A198" s="151" t="s">
        <v>1478</v>
      </c>
      <c r="B198" s="152" t="s">
        <v>1479</v>
      </c>
      <c r="C198" s="133"/>
      <c r="D198" s="133"/>
      <c r="E198" s="133"/>
    </row>
    <row r="199" spans="1:5" s="2" customFormat="1" x14ac:dyDescent="0.25">
      <c r="A199" s="151" t="s">
        <v>1480</v>
      </c>
      <c r="B199" s="152" t="s">
        <v>1481</v>
      </c>
      <c r="C199" s="133"/>
      <c r="D199" s="133"/>
      <c r="E199" s="133"/>
    </row>
    <row r="200" spans="1:5" s="2" customFormat="1" x14ac:dyDescent="0.25">
      <c r="A200" s="151" t="s">
        <v>1482</v>
      </c>
      <c r="B200" s="152" t="s">
        <v>1483</v>
      </c>
      <c r="C200" s="133"/>
      <c r="D200" s="133"/>
      <c r="E200" s="133"/>
    </row>
    <row r="201" spans="1:5" s="2" customFormat="1" x14ac:dyDescent="0.25">
      <c r="A201" s="151" t="s">
        <v>1484</v>
      </c>
      <c r="B201" s="152" t="s">
        <v>1485</v>
      </c>
      <c r="C201" s="133"/>
      <c r="D201" s="133"/>
      <c r="E201" s="133"/>
    </row>
    <row r="202" spans="1:5" s="2" customFormat="1" x14ac:dyDescent="0.25">
      <c r="A202" s="151" t="s">
        <v>1486</v>
      </c>
      <c r="B202" s="152" t="s">
        <v>1487</v>
      </c>
      <c r="C202" s="133"/>
      <c r="D202" s="133"/>
      <c r="E202" s="133"/>
    </row>
    <row r="203" spans="1:5" s="2" customFormat="1" x14ac:dyDescent="0.25">
      <c r="A203" s="151" t="s">
        <v>1488</v>
      </c>
      <c r="B203" s="152" t="s">
        <v>1489</v>
      </c>
      <c r="C203" s="133"/>
      <c r="D203" s="133"/>
      <c r="E203" s="133"/>
    </row>
    <row r="204" spans="1:5" s="2" customFormat="1" x14ac:dyDescent="0.25">
      <c r="A204" s="151" t="s">
        <v>1490</v>
      </c>
      <c r="B204" s="152" t="s">
        <v>1491</v>
      </c>
      <c r="C204" s="133"/>
      <c r="D204" s="133"/>
      <c r="E204" s="133"/>
    </row>
    <row r="205" spans="1:5" s="2" customFormat="1" x14ac:dyDescent="0.25">
      <c r="A205" s="151" t="s">
        <v>1492</v>
      </c>
      <c r="B205" s="152" t="s">
        <v>1493</v>
      </c>
      <c r="C205" s="133"/>
      <c r="D205" s="133"/>
      <c r="E205" s="133"/>
    </row>
    <row r="206" spans="1:5" s="2" customFormat="1" x14ac:dyDescent="0.25">
      <c r="A206" s="151" t="s">
        <v>1494</v>
      </c>
      <c r="B206" s="152" t="s">
        <v>1495</v>
      </c>
      <c r="C206" s="133"/>
      <c r="D206" s="133"/>
      <c r="E206" s="133"/>
    </row>
    <row r="207" spans="1:5" s="2" customFormat="1" x14ac:dyDescent="0.25">
      <c r="A207" s="151" t="s">
        <v>1496</v>
      </c>
      <c r="B207" s="152" t="s">
        <v>1497</v>
      </c>
      <c r="C207" s="133"/>
      <c r="D207" s="133"/>
      <c r="E207" s="133"/>
    </row>
    <row r="208" spans="1:5" s="2" customFormat="1" x14ac:dyDescent="0.25">
      <c r="A208" s="151" t="s">
        <v>1498</v>
      </c>
      <c r="B208" s="152" t="s">
        <v>1499</v>
      </c>
      <c r="C208" s="133"/>
      <c r="D208" s="133"/>
      <c r="E208" s="133"/>
    </row>
    <row r="209" spans="1:5" s="2" customFormat="1" x14ac:dyDescent="0.25">
      <c r="A209" s="151" t="s">
        <v>1500</v>
      </c>
      <c r="B209" s="152" t="s">
        <v>1501</v>
      </c>
      <c r="C209" s="133"/>
      <c r="D209" s="133"/>
      <c r="E209" s="133"/>
    </row>
    <row r="210" spans="1:5" s="2" customFormat="1" x14ac:dyDescent="0.25">
      <c r="A210" s="151" t="s">
        <v>1502</v>
      </c>
      <c r="B210" s="152" t="s">
        <v>1503</v>
      </c>
      <c r="C210" s="133"/>
      <c r="D210" s="133"/>
      <c r="E210" s="133"/>
    </row>
    <row r="211" spans="1:5" s="2" customFormat="1" x14ac:dyDescent="0.25">
      <c r="A211" s="151" t="s">
        <v>1504</v>
      </c>
      <c r="B211" s="152" t="s">
        <v>1505</v>
      </c>
      <c r="C211" s="133"/>
      <c r="D211" s="133"/>
      <c r="E211" s="133"/>
    </row>
    <row r="212" spans="1:5" s="2" customFormat="1" x14ac:dyDescent="0.25">
      <c r="A212" s="151" t="s">
        <v>1506</v>
      </c>
      <c r="B212" s="152" t="s">
        <v>1507</v>
      </c>
      <c r="C212" s="133"/>
      <c r="D212" s="133"/>
      <c r="E212" s="133"/>
    </row>
    <row r="213" spans="1:5" s="2" customFormat="1" x14ac:dyDescent="0.25">
      <c r="A213" s="151" t="s">
        <v>1508</v>
      </c>
      <c r="B213" s="152" t="s">
        <v>1509</v>
      </c>
      <c r="C213" s="133"/>
      <c r="D213" s="133"/>
      <c r="E213" s="133"/>
    </row>
    <row r="214" spans="1:5" s="2" customFormat="1" x14ac:dyDescent="0.25">
      <c r="A214" s="151" t="s">
        <v>1510</v>
      </c>
      <c r="B214" s="152" t="s">
        <v>1511</v>
      </c>
      <c r="C214" s="133"/>
      <c r="D214" s="133"/>
      <c r="E214" s="133"/>
    </row>
    <row r="215" spans="1:5" s="2" customFormat="1" x14ac:dyDescent="0.25">
      <c r="A215" s="151" t="s">
        <v>1512</v>
      </c>
      <c r="B215" s="152" t="s">
        <v>1513</v>
      </c>
      <c r="C215" s="133"/>
      <c r="D215" s="133"/>
      <c r="E215" s="133"/>
    </row>
    <row r="216" spans="1:5" s="2" customFormat="1" x14ac:dyDescent="0.25">
      <c r="A216" s="151" t="s">
        <v>1514</v>
      </c>
      <c r="B216" s="152" t="s">
        <v>1515</v>
      </c>
      <c r="C216" s="133"/>
      <c r="D216" s="133"/>
      <c r="E216" s="133"/>
    </row>
    <row r="217" spans="1:5" s="2" customFormat="1" x14ac:dyDescent="0.25">
      <c r="A217" s="151" t="s">
        <v>1516</v>
      </c>
      <c r="B217" s="152" t="s">
        <v>1517</v>
      </c>
      <c r="C217" s="133"/>
      <c r="D217" s="133"/>
      <c r="E217" s="133"/>
    </row>
    <row r="218" spans="1:5" s="2" customFormat="1" x14ac:dyDescent="0.25">
      <c r="A218" s="151" t="s">
        <v>1518</v>
      </c>
      <c r="B218" s="152" t="s">
        <v>1519</v>
      </c>
      <c r="C218" s="133"/>
      <c r="D218" s="133"/>
      <c r="E218" s="133"/>
    </row>
    <row r="219" spans="1:5" s="2" customFormat="1" x14ac:dyDescent="0.25">
      <c r="A219" s="151">
        <v>6000</v>
      </c>
      <c r="B219" s="152" t="s">
        <v>1520</v>
      </c>
      <c r="C219" s="133"/>
      <c r="D219" s="133"/>
      <c r="E219" s="133"/>
    </row>
    <row r="220" spans="1:5" s="2" customFormat="1" x14ac:dyDescent="0.25">
      <c r="A220" s="151">
        <v>6001</v>
      </c>
      <c r="B220" s="152" t="s">
        <v>1521</v>
      </c>
      <c r="C220" s="133"/>
      <c r="D220" s="133"/>
      <c r="E220" s="133"/>
    </row>
    <row r="221" spans="1:5" s="2" customFormat="1" x14ac:dyDescent="0.25">
      <c r="A221" s="151">
        <v>6002</v>
      </c>
      <c r="B221" s="152" t="s">
        <v>1522</v>
      </c>
      <c r="C221" s="133"/>
      <c r="D221" s="133"/>
      <c r="E221" s="133"/>
    </row>
    <row r="222" spans="1:5" s="2" customFormat="1" x14ac:dyDescent="0.25">
      <c r="A222" s="151">
        <v>6003</v>
      </c>
      <c r="B222" s="152" t="s">
        <v>1523</v>
      </c>
      <c r="C222" s="133"/>
      <c r="D222" s="133"/>
      <c r="E222" s="133"/>
    </row>
    <row r="223" spans="1:5" s="2" customFormat="1" x14ac:dyDescent="0.25">
      <c r="A223" s="151">
        <v>6004</v>
      </c>
      <c r="B223" s="152" t="s">
        <v>1524</v>
      </c>
      <c r="C223" s="133"/>
      <c r="D223" s="133"/>
      <c r="E223" s="133"/>
    </row>
    <row r="224" spans="1:5" s="2" customFormat="1" x14ac:dyDescent="0.25">
      <c r="A224" s="155">
        <v>6005</v>
      </c>
      <c r="B224" s="156" t="s">
        <v>1525</v>
      </c>
      <c r="C224" s="133"/>
      <c r="D224" s="133"/>
      <c r="E224" s="133"/>
    </row>
    <row r="225" spans="1:5" s="2" customFormat="1" x14ac:dyDescent="0.25">
      <c r="A225" s="155">
        <v>6006</v>
      </c>
      <c r="B225" s="156" t="s">
        <v>1526</v>
      </c>
      <c r="C225" s="133"/>
      <c r="D225" s="133"/>
      <c r="E225" s="133"/>
    </row>
    <row r="226" spans="1:5" s="2" customFormat="1" x14ac:dyDescent="0.25">
      <c r="A226" s="157" t="s">
        <v>1527</v>
      </c>
      <c r="B226" s="158" t="s">
        <v>1528</v>
      </c>
      <c r="C226" s="133"/>
      <c r="D226" s="133"/>
      <c r="E226" s="133"/>
    </row>
    <row r="227" spans="1:5" s="2" customFormat="1" ht="25.5" x14ac:dyDescent="0.25">
      <c r="A227" s="151">
        <v>7001</v>
      </c>
      <c r="B227" s="159" t="s">
        <v>1529</v>
      </c>
      <c r="C227" s="133"/>
      <c r="D227" s="133"/>
      <c r="E227" s="133"/>
    </row>
    <row r="228" spans="1:5" s="2" customFormat="1" ht="25.5" x14ac:dyDescent="0.25">
      <c r="A228" s="151">
        <v>7002</v>
      </c>
      <c r="B228" s="159" t="s">
        <v>1530</v>
      </c>
      <c r="C228" s="133"/>
      <c r="D228" s="133"/>
      <c r="E228" s="133"/>
    </row>
    <row r="229" spans="1:5" s="2" customFormat="1" ht="25.5" x14ac:dyDescent="0.25">
      <c r="A229" s="151">
        <v>7003</v>
      </c>
      <c r="B229" s="159" t="s">
        <v>1531</v>
      </c>
      <c r="C229" s="133"/>
      <c r="D229" s="133"/>
      <c r="E229" s="133"/>
    </row>
    <row r="230" spans="1:5" s="2" customFormat="1" ht="25.5" x14ac:dyDescent="0.25">
      <c r="A230" s="151" t="s">
        <v>1532</v>
      </c>
      <c r="B230" s="159" t="s">
        <v>1533</v>
      </c>
      <c r="C230" s="133"/>
      <c r="D230" s="133"/>
      <c r="E230" s="133"/>
    </row>
    <row r="231" spans="1:5" s="2" customFormat="1" ht="25.5" x14ac:dyDescent="0.25">
      <c r="A231" s="151" t="s">
        <v>1534</v>
      </c>
      <c r="B231" s="159" t="s">
        <v>1535</v>
      </c>
      <c r="C231" s="133"/>
      <c r="D231" s="133"/>
      <c r="E231" s="133"/>
    </row>
    <row r="232" spans="1:5" s="2" customFormat="1" ht="25.5" x14ac:dyDescent="0.25">
      <c r="A232" s="151" t="s">
        <v>1536</v>
      </c>
      <c r="B232" s="159" t="s">
        <v>1537</v>
      </c>
      <c r="C232" s="133"/>
      <c r="D232" s="133"/>
      <c r="E232" s="133"/>
    </row>
    <row r="233" spans="1:5" s="2" customFormat="1" ht="25.5" x14ac:dyDescent="0.25">
      <c r="A233" s="151" t="s">
        <v>1538</v>
      </c>
      <c r="B233" s="159" t="s">
        <v>1539</v>
      </c>
      <c r="C233" s="133"/>
      <c r="D233" s="133"/>
      <c r="E233" s="133"/>
    </row>
    <row r="234" spans="1:5" s="2" customFormat="1" ht="25.5" x14ac:dyDescent="0.25">
      <c r="A234" s="151" t="s">
        <v>1540</v>
      </c>
      <c r="B234" s="159" t="s">
        <v>1541</v>
      </c>
      <c r="C234" s="133"/>
      <c r="D234" s="133"/>
      <c r="E234" s="133"/>
    </row>
    <row r="235" spans="1:5" s="2" customFormat="1" ht="25.5" x14ac:dyDescent="0.25">
      <c r="A235" s="151" t="s">
        <v>1542</v>
      </c>
      <c r="B235" s="159" t="s">
        <v>1543</v>
      </c>
      <c r="C235" s="133"/>
      <c r="D235" s="133"/>
      <c r="E235" s="133"/>
    </row>
    <row r="236" spans="1:5" s="2" customFormat="1" ht="25.5" x14ac:dyDescent="0.25">
      <c r="A236" s="151" t="s">
        <v>1544</v>
      </c>
      <c r="B236" s="159" t="s">
        <v>1545</v>
      </c>
      <c r="C236" s="133"/>
      <c r="D236" s="133"/>
      <c r="E236" s="133"/>
    </row>
    <row r="237" spans="1:5" s="2" customFormat="1" ht="25.5" x14ac:dyDescent="0.25">
      <c r="A237" s="151" t="s">
        <v>1546</v>
      </c>
      <c r="B237" s="159" t="s">
        <v>1547</v>
      </c>
      <c r="C237" s="133"/>
      <c r="D237" s="133"/>
      <c r="E237" s="133"/>
    </row>
    <row r="238" spans="1:5" s="2" customFormat="1" ht="26.25" x14ac:dyDescent="0.25">
      <c r="A238" s="151" t="s">
        <v>1548</v>
      </c>
      <c r="B238" s="123" t="s">
        <v>1549</v>
      </c>
      <c r="C238" s="133"/>
      <c r="D238" s="133"/>
      <c r="E238" s="133"/>
    </row>
    <row r="239" spans="1:5" s="2" customFormat="1" x14ac:dyDescent="0.25">
      <c r="A239" s="151" t="s">
        <v>1550</v>
      </c>
      <c r="B239" s="152" t="s">
        <v>1551</v>
      </c>
      <c r="C239" s="133"/>
      <c r="D239" s="133"/>
      <c r="E239" s="133"/>
    </row>
    <row r="240" spans="1:5" s="2" customFormat="1" x14ac:dyDescent="0.25">
      <c r="A240" s="151" t="s">
        <v>1552</v>
      </c>
      <c r="B240" s="152" t="s">
        <v>1553</v>
      </c>
      <c r="C240" s="133"/>
      <c r="D240" s="133"/>
      <c r="E240" s="133"/>
    </row>
    <row r="241" spans="1:5" s="2" customFormat="1" x14ac:dyDescent="0.25">
      <c r="A241" s="151" t="s">
        <v>1554</v>
      </c>
      <c r="B241" s="152" t="s">
        <v>1555</v>
      </c>
      <c r="C241" s="133"/>
      <c r="D241" s="133"/>
      <c r="E241" s="133"/>
    </row>
    <row r="242" spans="1:5" s="2" customFormat="1" x14ac:dyDescent="0.25">
      <c r="A242" s="151" t="s">
        <v>1556</v>
      </c>
      <c r="B242" s="152" t="s">
        <v>1557</v>
      </c>
      <c r="C242" s="133"/>
      <c r="D242" s="133"/>
      <c r="E242" s="133"/>
    </row>
    <row r="243" spans="1:5" s="2" customFormat="1" x14ac:dyDescent="0.25">
      <c r="A243" s="151" t="s">
        <v>1558</v>
      </c>
      <c r="B243" s="152" t="s">
        <v>1559</v>
      </c>
      <c r="C243" s="133"/>
      <c r="D243" s="133"/>
      <c r="E243" s="133"/>
    </row>
    <row r="244" spans="1:5" s="2" customFormat="1" x14ac:dyDescent="0.25">
      <c r="A244" s="151" t="s">
        <v>1560</v>
      </c>
      <c r="B244" s="152" t="s">
        <v>1561</v>
      </c>
      <c r="C244" s="133"/>
      <c r="D244" s="133"/>
      <c r="E244" s="133"/>
    </row>
    <row r="245" spans="1:5" s="2" customFormat="1" x14ac:dyDescent="0.25">
      <c r="A245" s="151" t="s">
        <v>1562</v>
      </c>
      <c r="B245" s="152" t="s">
        <v>1563</v>
      </c>
      <c r="C245" s="133"/>
      <c r="D245" s="133"/>
      <c r="E245" s="133"/>
    </row>
    <row r="246" spans="1:5" s="2" customFormat="1" x14ac:dyDescent="0.25">
      <c r="A246" s="151" t="s">
        <v>1564</v>
      </c>
      <c r="B246" s="154" t="s">
        <v>930</v>
      </c>
      <c r="C246" s="133"/>
      <c r="D246" s="133"/>
      <c r="E246" s="133"/>
    </row>
    <row r="247" spans="1:5" s="2" customFormat="1" x14ac:dyDescent="0.25">
      <c r="A247" s="151" t="s">
        <v>1565</v>
      </c>
      <c r="B247" s="152" t="s">
        <v>1566</v>
      </c>
      <c r="C247" s="133"/>
      <c r="D247" s="133"/>
      <c r="E247" s="133"/>
    </row>
    <row r="248" spans="1:5" s="2" customFormat="1" x14ac:dyDescent="0.25">
      <c r="A248" s="151" t="s">
        <v>1567</v>
      </c>
      <c r="B248" s="152" t="s">
        <v>1568</v>
      </c>
      <c r="C248" s="133"/>
      <c r="D248" s="133"/>
      <c r="E248" s="133"/>
    </row>
    <row r="249" spans="1:5" s="2" customFormat="1" x14ac:dyDescent="0.25">
      <c r="A249" s="151" t="s">
        <v>1569</v>
      </c>
      <c r="B249" s="152" t="s">
        <v>1570</v>
      </c>
      <c r="C249" s="133"/>
      <c r="D249" s="133"/>
      <c r="E249" s="133"/>
    </row>
    <row r="250" spans="1:5" s="2" customFormat="1" x14ac:dyDescent="0.25">
      <c r="A250" s="133"/>
      <c r="B250" s="135"/>
      <c r="C250" s="133"/>
      <c r="D250" s="133"/>
      <c r="E250" s="133"/>
    </row>
    <row r="252" spans="1:5" x14ac:dyDescent="0.25">
      <c r="A252" s="117" t="s">
        <v>1232</v>
      </c>
      <c r="B252" s="160">
        <v>61</v>
      </c>
    </row>
    <row r="253" spans="1:5" x14ac:dyDescent="0.25">
      <c r="A253" s="117" t="s">
        <v>1233</v>
      </c>
      <c r="B253" s="119" t="s">
        <v>1571</v>
      </c>
    </row>
    <row r="254" spans="1:5" x14ac:dyDescent="0.25">
      <c r="A254" s="120" t="s">
        <v>1235</v>
      </c>
      <c r="B254" s="121" t="s">
        <v>1572</v>
      </c>
      <c r="C254" s="121" t="s">
        <v>1573</v>
      </c>
    </row>
    <row r="255" spans="1:5" x14ac:dyDescent="0.25">
      <c r="A255" s="151" t="s">
        <v>39</v>
      </c>
      <c r="B255" s="161" t="s">
        <v>1237</v>
      </c>
      <c r="C255" s="151" t="s">
        <v>1574</v>
      </c>
    </row>
    <row r="256" spans="1:5" x14ac:dyDescent="0.25">
      <c r="A256" s="151" t="s">
        <v>41</v>
      </c>
      <c r="B256" s="161" t="s">
        <v>1575</v>
      </c>
      <c r="C256" s="151" t="s">
        <v>1574</v>
      </c>
    </row>
    <row r="257" spans="1:3" x14ac:dyDescent="0.25">
      <c r="A257" s="151" t="s">
        <v>1239</v>
      </c>
      <c r="B257" s="161" t="s">
        <v>1576</v>
      </c>
      <c r="C257" s="151" t="s">
        <v>1574</v>
      </c>
    </row>
    <row r="258" spans="1:3" x14ac:dyDescent="0.25">
      <c r="A258" s="151" t="s">
        <v>1249</v>
      </c>
      <c r="B258" s="161" t="s">
        <v>1577</v>
      </c>
      <c r="C258" s="151" t="s">
        <v>1574</v>
      </c>
    </row>
    <row r="259" spans="1:3" x14ac:dyDescent="0.25">
      <c r="A259" s="151">
        <v>12</v>
      </c>
      <c r="B259" s="161" t="s">
        <v>1578</v>
      </c>
      <c r="C259" s="151" t="s">
        <v>1574</v>
      </c>
    </row>
    <row r="260" spans="1:3" x14ac:dyDescent="0.25">
      <c r="A260" s="151">
        <v>31</v>
      </c>
      <c r="B260" s="161" t="s">
        <v>1579</v>
      </c>
      <c r="C260" s="151" t="s">
        <v>1580</v>
      </c>
    </row>
    <row r="261" spans="1:3" x14ac:dyDescent="0.25">
      <c r="A261" s="151">
        <v>48</v>
      </c>
      <c r="B261" s="161" t="s">
        <v>1581</v>
      </c>
      <c r="C261" s="151" t="s">
        <v>1574</v>
      </c>
    </row>
    <row r="262" spans="1:3" x14ac:dyDescent="0.25">
      <c r="A262" s="151">
        <v>49</v>
      </c>
      <c r="B262" s="161" t="s">
        <v>1582</v>
      </c>
      <c r="C262" s="151" t="s">
        <v>1583</v>
      </c>
    </row>
    <row r="263" spans="1:3" x14ac:dyDescent="0.25">
      <c r="A263" s="151">
        <v>50</v>
      </c>
      <c r="B263" s="161" t="s">
        <v>1584</v>
      </c>
      <c r="C263" s="151" t="s">
        <v>1574</v>
      </c>
    </row>
    <row r="264" spans="1:3" x14ac:dyDescent="0.25">
      <c r="A264" s="151">
        <v>52</v>
      </c>
      <c r="B264" s="161" t="s">
        <v>1585</v>
      </c>
      <c r="C264" s="151" t="s">
        <v>1574</v>
      </c>
    </row>
    <row r="265" spans="1:3" x14ac:dyDescent="0.25">
      <c r="A265" s="151">
        <v>65</v>
      </c>
      <c r="B265" s="161" t="s">
        <v>1586</v>
      </c>
      <c r="C265" s="151" t="s">
        <v>1580</v>
      </c>
    </row>
    <row r="266" spans="1:3" ht="12.75" customHeight="1" x14ac:dyDescent="0.25">
      <c r="A266" s="151">
        <v>66</v>
      </c>
      <c r="B266" s="161" t="s">
        <v>1587</v>
      </c>
      <c r="C266" s="151" t="s">
        <v>1580</v>
      </c>
    </row>
    <row r="267" spans="1:3" ht="12.75" customHeight="1" x14ac:dyDescent="0.25">
      <c r="A267" s="151">
        <v>67</v>
      </c>
      <c r="B267" s="161" t="s">
        <v>1588</v>
      </c>
      <c r="C267" s="151" t="s">
        <v>1580</v>
      </c>
    </row>
    <row r="268" spans="1:3" ht="12.75" customHeight="1" x14ac:dyDescent="0.25">
      <c r="A268" s="151">
        <v>68</v>
      </c>
      <c r="B268" s="161" t="s">
        <v>1589</v>
      </c>
      <c r="C268" s="151" t="s">
        <v>1580</v>
      </c>
    </row>
    <row r="269" spans="1:3" ht="12.75" customHeight="1" x14ac:dyDescent="0.25">
      <c r="A269" s="151">
        <v>69</v>
      </c>
      <c r="B269" s="161" t="s">
        <v>1590</v>
      </c>
      <c r="C269" s="151" t="s">
        <v>1580</v>
      </c>
    </row>
    <row r="270" spans="1:3" ht="12.75" customHeight="1" x14ac:dyDescent="0.25">
      <c r="A270" s="151">
        <v>71</v>
      </c>
      <c r="B270" s="161" t="s">
        <v>1591</v>
      </c>
      <c r="C270" s="151" t="s">
        <v>1583</v>
      </c>
    </row>
    <row r="271" spans="1:3" ht="12.75" customHeight="1" x14ac:dyDescent="0.25">
      <c r="A271" s="151">
        <v>72</v>
      </c>
      <c r="B271" s="161" t="s">
        <v>1592</v>
      </c>
      <c r="C271" s="151" t="s">
        <v>1583</v>
      </c>
    </row>
    <row r="272" spans="1:3" ht="12.75" customHeight="1" x14ac:dyDescent="0.25">
      <c r="A272" s="151">
        <v>73</v>
      </c>
      <c r="B272" s="161" t="s">
        <v>1593</v>
      </c>
      <c r="C272" s="151" t="s">
        <v>1583</v>
      </c>
    </row>
    <row r="273" spans="1:3" ht="12.75" customHeight="1" x14ac:dyDescent="0.25">
      <c r="A273" s="151">
        <v>74</v>
      </c>
      <c r="B273" s="161" t="s">
        <v>1594</v>
      </c>
      <c r="C273" s="151" t="s">
        <v>1583</v>
      </c>
    </row>
    <row r="274" spans="1:3" ht="12.75" customHeight="1" x14ac:dyDescent="0.25">
      <c r="A274" s="151">
        <v>75</v>
      </c>
      <c r="B274" s="161" t="s">
        <v>1595</v>
      </c>
      <c r="C274" s="151" t="s">
        <v>1583</v>
      </c>
    </row>
    <row r="275" spans="1:3" ht="12.75" customHeight="1" x14ac:dyDescent="0.25">
      <c r="A275" s="151">
        <v>76</v>
      </c>
      <c r="B275" s="161" t="s">
        <v>1596</v>
      </c>
      <c r="C275" s="151" t="s">
        <v>1583</v>
      </c>
    </row>
    <row r="276" spans="1:3" ht="12.75" customHeight="1" x14ac:dyDescent="0.25">
      <c r="A276" s="151">
        <v>77</v>
      </c>
      <c r="B276" s="161" t="s">
        <v>1597</v>
      </c>
      <c r="C276" s="151" t="s">
        <v>1583</v>
      </c>
    </row>
    <row r="277" spans="1:3" ht="12.75" customHeight="1" x14ac:dyDescent="0.25">
      <c r="A277" s="151">
        <v>78</v>
      </c>
      <c r="B277" s="161" t="s">
        <v>1598</v>
      </c>
      <c r="C277" s="151" t="s">
        <v>1583</v>
      </c>
    </row>
    <row r="278" spans="1:3" ht="12.75" customHeight="1" x14ac:dyDescent="0.25">
      <c r="A278" s="151">
        <v>80</v>
      </c>
      <c r="B278" s="161" t="s">
        <v>1599</v>
      </c>
      <c r="C278" s="151" t="s">
        <v>1574</v>
      </c>
    </row>
    <row r="279" spans="1:3" ht="12.75" customHeight="1" x14ac:dyDescent="0.25">
      <c r="A279" s="151">
        <v>81</v>
      </c>
      <c r="B279" s="161" t="s">
        <v>1600</v>
      </c>
      <c r="C279" s="151" t="s">
        <v>1583</v>
      </c>
    </row>
    <row r="280" spans="1:3" ht="12.75" customHeight="1" x14ac:dyDescent="0.25">
      <c r="A280" s="151">
        <v>82</v>
      </c>
      <c r="B280" s="161" t="s">
        <v>1601</v>
      </c>
      <c r="C280" s="151" t="s">
        <v>1580</v>
      </c>
    </row>
    <row r="281" spans="1:3" ht="12.75" customHeight="1" x14ac:dyDescent="0.25"/>
    <row r="282" spans="1:3" ht="12.75" customHeight="1" x14ac:dyDescent="0.25"/>
    <row r="283" spans="1:3" ht="12.75" customHeight="1" x14ac:dyDescent="0.25">
      <c r="A283" s="117" t="s">
        <v>1232</v>
      </c>
      <c r="B283" s="160">
        <v>62</v>
      </c>
    </row>
    <row r="284" spans="1:3" ht="12.75" customHeight="1" x14ac:dyDescent="0.25">
      <c r="A284" s="117" t="s">
        <v>1233</v>
      </c>
      <c r="B284" s="119" t="s">
        <v>1602</v>
      </c>
    </row>
    <row r="285" spans="1:3" ht="12.75" customHeight="1" x14ac:dyDescent="0.25">
      <c r="A285" s="380" t="s">
        <v>930</v>
      </c>
      <c r="B285" s="162" t="s">
        <v>1236</v>
      </c>
      <c r="C285" s="381" t="s">
        <v>1343</v>
      </c>
    </row>
    <row r="286" spans="1:3" ht="12.75" customHeight="1" x14ac:dyDescent="0.25">
      <c r="A286" s="380"/>
      <c r="B286" s="162" t="s">
        <v>930</v>
      </c>
      <c r="C286" s="381"/>
    </row>
    <row r="287" spans="1:3" ht="12.75" customHeight="1" x14ac:dyDescent="0.25">
      <c r="A287" s="151">
        <v>1701130000</v>
      </c>
      <c r="B287" s="161" t="s">
        <v>1603</v>
      </c>
      <c r="C287" s="151">
        <v>50161509</v>
      </c>
    </row>
    <row r="288" spans="1:3" ht="12.75" customHeight="1" x14ac:dyDescent="0.25">
      <c r="A288" s="151">
        <v>1701140000</v>
      </c>
      <c r="B288" s="161" t="s">
        <v>1604</v>
      </c>
      <c r="C288" s="151">
        <v>50161509</v>
      </c>
    </row>
    <row r="289" spans="1:3" ht="12.75" customHeight="1" x14ac:dyDescent="0.25">
      <c r="A289" s="151">
        <v>1701910000</v>
      </c>
      <c r="B289" s="161" t="s">
        <v>1605</v>
      </c>
      <c r="C289" s="151">
        <v>50161509</v>
      </c>
    </row>
    <row r="290" spans="1:3" ht="12.75" customHeight="1" x14ac:dyDescent="0.25">
      <c r="A290" s="151" t="s">
        <v>1606</v>
      </c>
      <c r="B290" s="161" t="s">
        <v>1607</v>
      </c>
      <c r="C290" s="151">
        <v>50161509</v>
      </c>
    </row>
    <row r="291" spans="1:3" ht="12.75" customHeight="1" x14ac:dyDescent="0.25">
      <c r="A291" s="151">
        <v>1703100000</v>
      </c>
      <c r="B291" s="161" t="s">
        <v>1608</v>
      </c>
      <c r="C291" s="151">
        <v>50161509</v>
      </c>
    </row>
    <row r="292" spans="1:3" ht="12.75" customHeight="1" x14ac:dyDescent="0.25">
      <c r="A292" s="151">
        <v>2207100000</v>
      </c>
      <c r="B292" s="161" t="s">
        <v>1609</v>
      </c>
      <c r="C292" s="151">
        <v>12352104</v>
      </c>
    </row>
    <row r="293" spans="1:3" ht="12.75" customHeight="1" x14ac:dyDescent="0.25">
      <c r="A293" s="151">
        <v>2207200010</v>
      </c>
      <c r="B293" s="161" t="s">
        <v>1610</v>
      </c>
      <c r="C293" s="151">
        <v>12352104</v>
      </c>
    </row>
    <row r="294" spans="1:3" ht="12.75" customHeight="1" x14ac:dyDescent="0.25">
      <c r="A294" s="151">
        <v>2207200090</v>
      </c>
      <c r="B294" s="161" t="s">
        <v>1607</v>
      </c>
      <c r="C294" s="151">
        <v>12352104</v>
      </c>
    </row>
    <row r="295" spans="1:3" ht="12.75" customHeight="1" x14ac:dyDescent="0.25">
      <c r="A295" s="151">
        <v>2208901000</v>
      </c>
      <c r="B295" s="161" t="s">
        <v>1611</v>
      </c>
      <c r="C295" s="151">
        <v>12352104</v>
      </c>
    </row>
    <row r="296" spans="1:3" ht="12.75" customHeight="1" x14ac:dyDescent="0.25">
      <c r="A296" s="151">
        <v>1006200000</v>
      </c>
      <c r="B296" s="161" t="s">
        <v>1612</v>
      </c>
      <c r="C296" s="151">
        <v>50221101</v>
      </c>
    </row>
    <row r="297" spans="1:3" ht="12.75" customHeight="1" x14ac:dyDescent="0.25">
      <c r="A297" s="151">
        <v>1006300000</v>
      </c>
      <c r="B297" s="161" t="s">
        <v>1613</v>
      </c>
      <c r="C297" s="151">
        <v>50221101</v>
      </c>
    </row>
    <row r="298" spans="1:3" ht="12.75" customHeight="1" x14ac:dyDescent="0.25">
      <c r="A298" s="151">
        <v>1006400000</v>
      </c>
      <c r="B298" s="161" t="s">
        <v>1614</v>
      </c>
      <c r="C298" s="151">
        <v>50221101</v>
      </c>
    </row>
    <row r="299" spans="1:3" ht="12.75" customHeight="1" x14ac:dyDescent="0.25">
      <c r="A299" s="151">
        <v>2302200000</v>
      </c>
      <c r="B299" s="161" t="s">
        <v>1615</v>
      </c>
      <c r="C299" s="151">
        <v>50221101</v>
      </c>
    </row>
    <row r="300" spans="1:3" ht="12.75" customHeight="1" x14ac:dyDescent="0.25"/>
    <row r="301" spans="1:3" ht="12.75" customHeight="1" x14ac:dyDescent="0.25"/>
    <row r="302" spans="1:3" ht="12.75" customHeight="1" x14ac:dyDescent="0.25">
      <c r="A302" s="117" t="s">
        <v>1232</v>
      </c>
      <c r="B302" s="160">
        <v>63</v>
      </c>
    </row>
    <row r="303" spans="1:3" ht="12.75" customHeight="1" x14ac:dyDescent="0.25">
      <c r="A303" s="117" t="s">
        <v>1233</v>
      </c>
      <c r="B303" s="119" t="s">
        <v>1616</v>
      </c>
    </row>
    <row r="304" spans="1:3" ht="12.75" customHeight="1" x14ac:dyDescent="0.25">
      <c r="A304" s="120" t="s">
        <v>1235</v>
      </c>
      <c r="B304" s="121" t="s">
        <v>1572</v>
      </c>
      <c r="C304" s="121" t="s">
        <v>1617</v>
      </c>
    </row>
    <row r="305" spans="1:3" ht="12.75" customHeight="1" x14ac:dyDescent="0.25">
      <c r="A305" s="151" t="s">
        <v>1618</v>
      </c>
      <c r="B305" s="161" t="s">
        <v>1619</v>
      </c>
      <c r="C305" s="151">
        <v>200801</v>
      </c>
    </row>
    <row r="306" spans="1:3" ht="12.75" customHeight="1" x14ac:dyDescent="0.25">
      <c r="A306" s="151" t="s">
        <v>1620</v>
      </c>
      <c r="B306" s="161" t="s">
        <v>1621</v>
      </c>
      <c r="C306" s="151" t="s">
        <v>1622</v>
      </c>
    </row>
    <row r="307" spans="1:3" ht="12.75" customHeight="1" x14ac:dyDescent="0.25">
      <c r="A307" s="151" t="s">
        <v>1623</v>
      </c>
      <c r="B307" s="161" t="s">
        <v>1624</v>
      </c>
      <c r="C307" s="151">
        <v>150119</v>
      </c>
    </row>
    <row r="308" spans="1:3" ht="12.75" customHeight="1" x14ac:dyDescent="0.25">
      <c r="A308" s="151" t="s">
        <v>1625</v>
      </c>
      <c r="B308" s="161" t="s">
        <v>1626</v>
      </c>
      <c r="C308" s="151">
        <v>150605</v>
      </c>
    </row>
    <row r="309" spans="1:3" ht="12.75" customHeight="1" x14ac:dyDescent="0.25">
      <c r="A309" s="151" t="s">
        <v>1627</v>
      </c>
      <c r="B309" s="161" t="s">
        <v>1628</v>
      </c>
      <c r="C309" s="151" t="s">
        <v>1629</v>
      </c>
    </row>
    <row r="310" spans="1:3" ht="12.75" customHeight="1" x14ac:dyDescent="0.25">
      <c r="A310" s="151" t="s">
        <v>1630</v>
      </c>
      <c r="B310" s="161" t="s">
        <v>1631</v>
      </c>
      <c r="C310" s="151">
        <v>140113</v>
      </c>
    </row>
    <row r="311" spans="1:3" ht="12.75" customHeight="1" x14ac:dyDescent="0.25">
      <c r="A311" s="151" t="s">
        <v>1632</v>
      </c>
      <c r="B311" s="161" t="s">
        <v>1633</v>
      </c>
      <c r="C311" s="151">
        <v>150801</v>
      </c>
    </row>
    <row r="312" spans="1:3" ht="12.75" customHeight="1" x14ac:dyDescent="0.25">
      <c r="A312" s="151" t="s">
        <v>1634</v>
      </c>
      <c r="B312" s="161" t="s">
        <v>1635</v>
      </c>
      <c r="C312" s="151" t="s">
        <v>1636</v>
      </c>
    </row>
    <row r="313" spans="1:3" ht="12.75" customHeight="1" x14ac:dyDescent="0.25">
      <c r="A313" s="151" t="s">
        <v>1637</v>
      </c>
      <c r="B313" s="161" t="s">
        <v>1638</v>
      </c>
      <c r="C313" s="151">
        <v>180301</v>
      </c>
    </row>
    <row r="314" spans="1:3" ht="12.75" customHeight="1" x14ac:dyDescent="0.25">
      <c r="A314" s="151" t="s">
        <v>1639</v>
      </c>
      <c r="B314" s="161" t="s">
        <v>1640</v>
      </c>
      <c r="C314" s="151">
        <v>160101</v>
      </c>
    </row>
    <row r="315" spans="1:3" ht="12.75" customHeight="1" x14ac:dyDescent="0.25">
      <c r="A315" s="151" t="s">
        <v>1641</v>
      </c>
      <c r="B315" s="161" t="s">
        <v>1642</v>
      </c>
      <c r="C315" s="151" t="s">
        <v>1643</v>
      </c>
    </row>
    <row r="316" spans="1:3" ht="12.75" customHeight="1" x14ac:dyDescent="0.25">
      <c r="A316" s="151" t="s">
        <v>1644</v>
      </c>
      <c r="B316" s="161" t="s">
        <v>1645</v>
      </c>
      <c r="C316" s="151">
        <v>200501</v>
      </c>
    </row>
    <row r="317" spans="1:3" ht="12.75" customHeight="1" x14ac:dyDescent="0.25">
      <c r="A317" s="151" t="s">
        <v>1646</v>
      </c>
      <c r="B317" s="161" t="s">
        <v>1647</v>
      </c>
      <c r="C317" s="151">
        <v>110505</v>
      </c>
    </row>
    <row r="318" spans="1:3" ht="12.75" customHeight="1" x14ac:dyDescent="0.25">
      <c r="A318" s="151" t="s">
        <v>1648</v>
      </c>
      <c r="B318" s="161" t="s">
        <v>1649</v>
      </c>
      <c r="C318" s="151">
        <v>250101</v>
      </c>
    </row>
    <row r="319" spans="1:3" ht="12.75" customHeight="1" x14ac:dyDescent="0.25">
      <c r="A319" s="151" t="s">
        <v>1650</v>
      </c>
      <c r="B319" s="161" t="s">
        <v>1651</v>
      </c>
      <c r="C319" s="151">
        <v>210101</v>
      </c>
    </row>
    <row r="320" spans="1:3" ht="12.75" customHeight="1" x14ac:dyDescent="0.25">
      <c r="A320" s="151" t="s">
        <v>1652</v>
      </c>
      <c r="B320" s="161" t="s">
        <v>1653</v>
      </c>
      <c r="C320" s="151">
        <v>130109</v>
      </c>
    </row>
    <row r="321" spans="1:3" ht="12.75" customHeight="1" x14ac:dyDescent="0.25">
      <c r="A321" s="151" t="s">
        <v>1654</v>
      </c>
      <c r="B321" s="161" t="s">
        <v>1655</v>
      </c>
      <c r="C321" s="151">
        <v>110304</v>
      </c>
    </row>
    <row r="322" spans="1:3" ht="12.75" customHeight="1" x14ac:dyDescent="0.25">
      <c r="A322" s="151" t="s">
        <v>1656</v>
      </c>
      <c r="B322" s="161" t="s">
        <v>1657</v>
      </c>
      <c r="C322" s="151">
        <v>150204</v>
      </c>
    </row>
    <row r="323" spans="1:3" ht="12.75" customHeight="1" x14ac:dyDescent="0.25">
      <c r="A323" s="151" t="s">
        <v>1658</v>
      </c>
      <c r="B323" s="161" t="s">
        <v>1659</v>
      </c>
      <c r="C323" s="151">
        <v>200701</v>
      </c>
    </row>
    <row r="324" spans="1:3" ht="12.75" customHeight="1" x14ac:dyDescent="0.25">
      <c r="A324" s="151" t="s">
        <v>1660</v>
      </c>
      <c r="B324" s="161" t="s">
        <v>1661</v>
      </c>
      <c r="C324" s="151">
        <v>160201</v>
      </c>
    </row>
    <row r="325" spans="1:3" ht="12.75" customHeight="1" x14ac:dyDescent="0.25">
      <c r="A325" s="151" t="s">
        <v>1662</v>
      </c>
      <c r="B325" s="161" t="s">
        <v>1663</v>
      </c>
      <c r="C325" s="151">
        <v>240103</v>
      </c>
    </row>
    <row r="326" spans="1:3" ht="12.75" customHeight="1" x14ac:dyDescent="0.25">
      <c r="A326" s="140"/>
      <c r="B326" s="139"/>
      <c r="C326" s="115"/>
    </row>
    <row r="327" spans="1:3" ht="12.75" customHeight="1" x14ac:dyDescent="0.25"/>
    <row r="328" spans="1:3" ht="12.75" customHeight="1" x14ac:dyDescent="0.25">
      <c r="A328" s="117" t="s">
        <v>1232</v>
      </c>
      <c r="B328" s="160">
        <v>64</v>
      </c>
    </row>
    <row r="329" spans="1:3" ht="12.75" customHeight="1" x14ac:dyDescent="0.25">
      <c r="A329" s="117" t="s">
        <v>1233</v>
      </c>
      <c r="B329" s="119" t="s">
        <v>1664</v>
      </c>
    </row>
    <row r="330" spans="1:3" ht="12.75" customHeight="1" x14ac:dyDescent="0.25">
      <c r="A330" s="120" t="s">
        <v>1235</v>
      </c>
      <c r="B330" s="121" t="s">
        <v>1572</v>
      </c>
      <c r="C330" s="121" t="s">
        <v>1617</v>
      </c>
    </row>
    <row r="331" spans="1:3" ht="12.75" customHeight="1" x14ac:dyDescent="0.25">
      <c r="A331" s="151" t="s">
        <v>1665</v>
      </c>
      <c r="B331" s="161" t="s">
        <v>1666</v>
      </c>
      <c r="C331" s="151" t="s">
        <v>1667</v>
      </c>
    </row>
    <row r="332" spans="1:3" ht="12.75" customHeight="1" x14ac:dyDescent="0.25">
      <c r="A332" s="151" t="s">
        <v>1668</v>
      </c>
      <c r="B332" s="161" t="s">
        <v>1669</v>
      </c>
      <c r="C332" s="151" t="s">
        <v>1670</v>
      </c>
    </row>
    <row r="333" spans="1:3" ht="12.75" customHeight="1" x14ac:dyDescent="0.25">
      <c r="A333" s="151" t="s">
        <v>1671</v>
      </c>
      <c r="B333" s="161" t="s">
        <v>1672</v>
      </c>
      <c r="C333" s="151" t="s">
        <v>1673</v>
      </c>
    </row>
    <row r="334" spans="1:3" ht="12.75" customHeight="1" x14ac:dyDescent="0.25">
      <c r="A334" s="151" t="s">
        <v>1674</v>
      </c>
      <c r="B334" s="161" t="s">
        <v>1675</v>
      </c>
      <c r="C334" s="151" t="s">
        <v>1676</v>
      </c>
    </row>
    <row r="335" spans="1:3" ht="12.75" customHeight="1" x14ac:dyDescent="0.25">
      <c r="A335" s="151" t="s">
        <v>1677</v>
      </c>
      <c r="B335" s="161" t="s">
        <v>1678</v>
      </c>
      <c r="C335" s="151" t="s">
        <v>1679</v>
      </c>
    </row>
    <row r="336" spans="1:3" ht="12.75" customHeight="1" x14ac:dyDescent="0.25">
      <c r="A336" s="151" t="s">
        <v>1627</v>
      </c>
      <c r="B336" s="161" t="s">
        <v>1680</v>
      </c>
      <c r="C336" s="151" t="s">
        <v>1681</v>
      </c>
    </row>
    <row r="337" spans="1:3" ht="12.75" customHeight="1" x14ac:dyDescent="0.25">
      <c r="A337" s="151" t="s">
        <v>1682</v>
      </c>
      <c r="B337" s="161" t="s">
        <v>1683</v>
      </c>
      <c r="C337" s="151" t="s">
        <v>1684</v>
      </c>
    </row>
    <row r="338" spans="1:3" ht="12.75" customHeight="1" x14ac:dyDescent="0.25">
      <c r="A338" s="151" t="s">
        <v>1685</v>
      </c>
      <c r="B338" s="161" t="s">
        <v>1686</v>
      </c>
      <c r="C338" s="151" t="s">
        <v>1687</v>
      </c>
    </row>
    <row r="339" spans="1:3" ht="12.75" customHeight="1" x14ac:dyDescent="0.25">
      <c r="A339" s="151" t="s">
        <v>1688</v>
      </c>
      <c r="B339" s="161" t="s">
        <v>1689</v>
      </c>
      <c r="C339" s="151">
        <v>140101</v>
      </c>
    </row>
    <row r="340" spans="1:3" ht="12.75" customHeight="1" x14ac:dyDescent="0.25">
      <c r="A340" s="151" t="s">
        <v>1690</v>
      </c>
      <c r="B340" s="161" t="s">
        <v>1691</v>
      </c>
      <c r="C340" s="151">
        <v>100101</v>
      </c>
    </row>
    <row r="341" spans="1:3" ht="12.75" customHeight="1" x14ac:dyDescent="0.25">
      <c r="A341" s="151" t="s">
        <v>1692</v>
      </c>
      <c r="B341" s="161" t="s">
        <v>1638</v>
      </c>
      <c r="C341" s="151">
        <v>180301</v>
      </c>
    </row>
    <row r="342" spans="1:3" ht="12.75" customHeight="1" x14ac:dyDescent="0.25">
      <c r="A342" s="151" t="s">
        <v>1639</v>
      </c>
      <c r="B342" s="163" t="s">
        <v>1693</v>
      </c>
      <c r="C342" s="151">
        <v>160101</v>
      </c>
    </row>
    <row r="343" spans="1:3" ht="12.75" customHeight="1" x14ac:dyDescent="0.25">
      <c r="A343" s="151" t="s">
        <v>1694</v>
      </c>
      <c r="B343" s="161" t="s">
        <v>1695</v>
      </c>
      <c r="C343" s="151" t="s">
        <v>1696</v>
      </c>
    </row>
    <row r="344" spans="1:3" ht="12.75" customHeight="1" x14ac:dyDescent="0.25">
      <c r="A344" s="151" t="s">
        <v>1697</v>
      </c>
      <c r="B344" s="161" t="s">
        <v>1698</v>
      </c>
      <c r="C344" s="151">
        <v>220601</v>
      </c>
    </row>
    <row r="345" spans="1:3" ht="12.75" customHeight="1" x14ac:dyDescent="0.25">
      <c r="A345" s="151" t="s">
        <v>1699</v>
      </c>
      <c r="B345" s="161" t="s">
        <v>1700</v>
      </c>
      <c r="C345" s="151">
        <v>211101</v>
      </c>
    </row>
    <row r="346" spans="1:3" ht="12.75" customHeight="1" x14ac:dyDescent="0.25">
      <c r="A346" s="151" t="s">
        <v>1701</v>
      </c>
      <c r="B346" s="161" t="s">
        <v>1702</v>
      </c>
      <c r="C346" s="151">
        <v>120430</v>
      </c>
    </row>
    <row r="347" spans="1:3" ht="12.75" customHeight="1" x14ac:dyDescent="0.25">
      <c r="A347" s="151" t="s">
        <v>1703</v>
      </c>
      <c r="B347" s="161" t="s">
        <v>1704</v>
      </c>
      <c r="C347" s="151" t="s">
        <v>1622</v>
      </c>
    </row>
    <row r="348" spans="1:3" ht="12.75" customHeight="1" x14ac:dyDescent="0.25">
      <c r="A348" s="151" t="s">
        <v>1705</v>
      </c>
      <c r="B348" s="161" t="s">
        <v>1706</v>
      </c>
      <c r="C348" s="151">
        <v>220101</v>
      </c>
    </row>
    <row r="349" spans="1:3" ht="12.75" customHeight="1" x14ac:dyDescent="0.25">
      <c r="A349" s="151" t="s">
        <v>1646</v>
      </c>
      <c r="B349" s="161" t="s">
        <v>1707</v>
      </c>
      <c r="C349" s="151">
        <v>110506</v>
      </c>
    </row>
    <row r="350" spans="1:3" ht="12.75" customHeight="1" x14ac:dyDescent="0.25">
      <c r="A350" s="151" t="s">
        <v>1708</v>
      </c>
      <c r="B350" s="161" t="s">
        <v>1709</v>
      </c>
      <c r="C350" s="151">
        <v>200104</v>
      </c>
    </row>
    <row r="351" spans="1:3" ht="12.75" customHeight="1" x14ac:dyDescent="0.25">
      <c r="A351" s="151" t="s">
        <v>1648</v>
      </c>
      <c r="B351" s="161" t="s">
        <v>1710</v>
      </c>
      <c r="C351" s="151">
        <v>250105</v>
      </c>
    </row>
    <row r="352" spans="1:3" ht="12.75" customHeight="1" x14ac:dyDescent="0.25">
      <c r="A352" s="151" t="s">
        <v>1711</v>
      </c>
      <c r="B352" s="161" t="s">
        <v>1712</v>
      </c>
      <c r="C352" s="151">
        <v>170101</v>
      </c>
    </row>
    <row r="353" spans="1:3" ht="12.75" customHeight="1" x14ac:dyDescent="0.25">
      <c r="A353" s="151" t="s">
        <v>1713</v>
      </c>
      <c r="B353" s="161" t="s">
        <v>1714</v>
      </c>
      <c r="C353" s="151">
        <v>220801</v>
      </c>
    </row>
    <row r="354" spans="1:3" ht="12.75" customHeight="1" x14ac:dyDescent="0.25">
      <c r="A354" s="151" t="s">
        <v>1715</v>
      </c>
      <c r="B354" s="161" t="s">
        <v>1716</v>
      </c>
      <c r="C354" s="151">
        <v>230101</v>
      </c>
    </row>
    <row r="355" spans="1:3" ht="12.75" customHeight="1" x14ac:dyDescent="0.25">
      <c r="A355" s="151" t="s">
        <v>1658</v>
      </c>
      <c r="B355" s="161" t="s">
        <v>1717</v>
      </c>
      <c r="C355" s="151">
        <v>200701</v>
      </c>
    </row>
    <row r="356" spans="1:3" ht="12.75" customHeight="1" x14ac:dyDescent="0.25">
      <c r="A356" s="151" t="s">
        <v>1718</v>
      </c>
      <c r="B356" s="161" t="s">
        <v>1719</v>
      </c>
      <c r="C356" s="151">
        <v>220901</v>
      </c>
    </row>
    <row r="357" spans="1:3" ht="12.75" customHeight="1" x14ac:dyDescent="0.25">
      <c r="A357" s="151" t="s">
        <v>1720</v>
      </c>
      <c r="B357" s="161" t="s">
        <v>1721</v>
      </c>
      <c r="C357" s="151">
        <v>100601</v>
      </c>
    </row>
    <row r="358" spans="1:3" ht="12.75" customHeight="1" x14ac:dyDescent="0.25">
      <c r="A358" s="151" t="s">
        <v>1722</v>
      </c>
      <c r="B358" s="161" t="s">
        <v>1723</v>
      </c>
      <c r="C358" s="151">
        <v>130104</v>
      </c>
    </row>
    <row r="359" spans="1:3" ht="12.75" customHeight="1" x14ac:dyDescent="0.25">
      <c r="A359" s="151" t="s">
        <v>1724</v>
      </c>
      <c r="B359" s="161" t="s">
        <v>1725</v>
      </c>
      <c r="C359" s="151">
        <v>240101</v>
      </c>
    </row>
    <row r="360" spans="1:3" ht="12.75" customHeight="1" x14ac:dyDescent="0.25">
      <c r="A360" s="151" t="s">
        <v>1726</v>
      </c>
      <c r="B360" s="161" t="s">
        <v>1727</v>
      </c>
      <c r="C360" s="151">
        <v>250201</v>
      </c>
    </row>
    <row r="361" spans="1:3" ht="12.75" customHeight="1" x14ac:dyDescent="0.25">
      <c r="A361" s="151" t="s">
        <v>1660</v>
      </c>
      <c r="B361" s="161" t="s">
        <v>1728</v>
      </c>
      <c r="C361" s="151">
        <v>160201</v>
      </c>
    </row>
    <row r="362" spans="1:3" ht="12.75" customHeight="1" x14ac:dyDescent="0.25"/>
    <row r="363" spans="1:3" ht="12.75" customHeight="1" x14ac:dyDescent="0.25"/>
    <row r="364" spans="1:3" ht="12.75" customHeight="1" x14ac:dyDescent="0.25">
      <c r="A364" s="164" t="s">
        <v>1232</v>
      </c>
      <c r="B364" s="165">
        <v>65</v>
      </c>
    </row>
    <row r="365" spans="1:3" ht="12.75" customHeight="1" x14ac:dyDescent="0.25">
      <c r="A365" s="164" t="s">
        <v>1233</v>
      </c>
      <c r="B365" s="165" t="s">
        <v>1729</v>
      </c>
    </row>
    <row r="366" spans="1:3" ht="12.75" customHeight="1" x14ac:dyDescent="0.25">
      <c r="A366" s="166" t="s">
        <v>1235</v>
      </c>
      <c r="B366" s="167" t="s">
        <v>1236</v>
      </c>
    </row>
    <row r="367" spans="1:3" ht="12.75" customHeight="1" x14ac:dyDescent="0.25">
      <c r="A367" s="168">
        <v>126</v>
      </c>
      <c r="B367" s="169" t="s">
        <v>1730</v>
      </c>
    </row>
    <row r="368" spans="1:3" ht="12.75" customHeight="1" x14ac:dyDescent="0.25">
      <c r="A368" s="170" t="s">
        <v>1731</v>
      </c>
      <c r="B368" s="171" t="s">
        <v>1732</v>
      </c>
    </row>
    <row r="369" spans="1:2" ht="12.75" customHeight="1" x14ac:dyDescent="0.25">
      <c r="A369" s="170" t="s">
        <v>1733</v>
      </c>
      <c r="B369" s="171" t="s">
        <v>1734</v>
      </c>
    </row>
    <row r="370" spans="1:2" ht="12.75" customHeight="1" x14ac:dyDescent="0.25">
      <c r="A370" s="170" t="s">
        <v>1735</v>
      </c>
      <c r="B370" s="171" t="s">
        <v>1736</v>
      </c>
    </row>
    <row r="371" spans="1:2" ht="12.75" customHeight="1" x14ac:dyDescent="0.25">
      <c r="A371" s="170" t="s">
        <v>1737</v>
      </c>
      <c r="B371" s="171" t="s">
        <v>1738</v>
      </c>
    </row>
    <row r="372" spans="1:2" ht="12.75" customHeight="1" x14ac:dyDescent="0.25">
      <c r="A372" s="170" t="s">
        <v>1739</v>
      </c>
      <c r="B372" s="171" t="s">
        <v>1740</v>
      </c>
    </row>
    <row r="373" spans="1:2" ht="12.75" customHeight="1" x14ac:dyDescent="0.25">
      <c r="A373" s="170" t="s">
        <v>1741</v>
      </c>
      <c r="B373" s="171" t="s">
        <v>1742</v>
      </c>
    </row>
    <row r="374" spans="1:2" ht="12.75" customHeight="1" x14ac:dyDescent="0.25">
      <c r="A374" s="170" t="s">
        <v>1743</v>
      </c>
      <c r="B374" s="171" t="s">
        <v>1744</v>
      </c>
    </row>
    <row r="375" spans="1:2" ht="12.75" customHeight="1" x14ac:dyDescent="0.25">
      <c r="A375" s="170" t="s">
        <v>1745</v>
      </c>
      <c r="B375" s="171" t="s">
        <v>1746</v>
      </c>
    </row>
    <row r="376" spans="1:2" ht="12.75" customHeight="1" x14ac:dyDescent="0.25">
      <c r="A376" s="170" t="s">
        <v>1747</v>
      </c>
      <c r="B376" s="171" t="s">
        <v>1748</v>
      </c>
    </row>
    <row r="377" spans="1:2" ht="12.75" customHeight="1" x14ac:dyDescent="0.25">
      <c r="A377" s="170" t="s">
        <v>1749</v>
      </c>
      <c r="B377" s="171" t="s">
        <v>1750</v>
      </c>
    </row>
    <row r="378" spans="1:2" ht="12.75" customHeight="1" x14ac:dyDescent="0.25">
      <c r="A378" s="170" t="s">
        <v>1751</v>
      </c>
      <c r="B378" s="171" t="s">
        <v>1752</v>
      </c>
    </row>
    <row r="379" spans="1:2" ht="12.75" customHeight="1" x14ac:dyDescent="0.25">
      <c r="A379" s="170" t="s">
        <v>1753</v>
      </c>
      <c r="B379" s="171" t="s">
        <v>1754</v>
      </c>
    </row>
    <row r="380" spans="1:2" ht="12.75" customHeight="1" x14ac:dyDescent="0.25">
      <c r="A380" s="170" t="s">
        <v>1755</v>
      </c>
      <c r="B380" s="171" t="s">
        <v>1756</v>
      </c>
    </row>
    <row r="381" spans="1:2" ht="12.75" customHeight="1" x14ac:dyDescent="0.25">
      <c r="A381" s="170" t="s">
        <v>1757</v>
      </c>
      <c r="B381" s="171" t="s">
        <v>1758</v>
      </c>
    </row>
    <row r="382" spans="1:2" ht="12.75" customHeight="1" x14ac:dyDescent="0.25">
      <c r="A382" s="170" t="s">
        <v>1759</v>
      </c>
      <c r="B382" s="171" t="s">
        <v>1760</v>
      </c>
    </row>
    <row r="383" spans="1:2" ht="12.75" customHeight="1" x14ac:dyDescent="0.25">
      <c r="A383" s="170" t="s">
        <v>1623</v>
      </c>
      <c r="B383" s="171" t="s">
        <v>1761</v>
      </c>
    </row>
    <row r="384" spans="1:2" ht="12.75" customHeight="1" x14ac:dyDescent="0.25">
      <c r="A384" s="170" t="s">
        <v>1762</v>
      </c>
      <c r="B384" s="171" t="s">
        <v>1763</v>
      </c>
    </row>
    <row r="385" spans="1:2" ht="12.75" customHeight="1" x14ac:dyDescent="0.25">
      <c r="A385" s="170" t="s">
        <v>1764</v>
      </c>
      <c r="B385" s="171" t="s">
        <v>1765</v>
      </c>
    </row>
    <row r="386" spans="1:2" ht="12.75" customHeight="1" x14ac:dyDescent="0.25">
      <c r="A386" s="170" t="s">
        <v>1766</v>
      </c>
      <c r="B386" s="171" t="s">
        <v>1767</v>
      </c>
    </row>
    <row r="387" spans="1:2" ht="12.75" customHeight="1" x14ac:dyDescent="0.25">
      <c r="A387" s="170" t="s">
        <v>1768</v>
      </c>
      <c r="B387" s="171" t="s">
        <v>1769</v>
      </c>
    </row>
    <row r="388" spans="1:2" ht="12.75" customHeight="1" x14ac:dyDescent="0.25">
      <c r="A388" s="170" t="s">
        <v>1770</v>
      </c>
      <c r="B388" s="171" t="s">
        <v>1771</v>
      </c>
    </row>
    <row r="389" spans="1:2" ht="12.75" customHeight="1" x14ac:dyDescent="0.25">
      <c r="A389" s="170" t="s">
        <v>1772</v>
      </c>
      <c r="B389" s="171" t="s">
        <v>1773</v>
      </c>
    </row>
    <row r="390" spans="1:2" ht="12.75" customHeight="1" x14ac:dyDescent="0.25">
      <c r="A390" s="170" t="s">
        <v>1774</v>
      </c>
      <c r="B390" s="171" t="s">
        <v>1775</v>
      </c>
    </row>
    <row r="391" spans="1:2" ht="12.75" customHeight="1" x14ac:dyDescent="0.25">
      <c r="A391" s="170" t="s">
        <v>1776</v>
      </c>
      <c r="B391" s="171" t="s">
        <v>1777</v>
      </c>
    </row>
    <row r="392" spans="1:2" ht="12.75" customHeight="1" x14ac:dyDescent="0.25">
      <c r="A392" s="170" t="s">
        <v>1778</v>
      </c>
      <c r="B392" s="171" t="s">
        <v>1779</v>
      </c>
    </row>
    <row r="393" spans="1:2" ht="12.75" customHeight="1" x14ac:dyDescent="0.25">
      <c r="A393" s="170" t="s">
        <v>1780</v>
      </c>
      <c r="B393" s="171" t="s">
        <v>1781</v>
      </c>
    </row>
    <row r="394" spans="1:2" ht="12.75" customHeight="1" x14ac:dyDescent="0.25">
      <c r="A394" s="170" t="s">
        <v>1782</v>
      </c>
      <c r="B394" s="171" t="s">
        <v>1783</v>
      </c>
    </row>
    <row r="395" spans="1:2" ht="12.75" customHeight="1" x14ac:dyDescent="0.25">
      <c r="A395" s="170" t="s">
        <v>1784</v>
      </c>
      <c r="B395" s="171" t="s">
        <v>1785</v>
      </c>
    </row>
    <row r="396" spans="1:2" ht="12.75" customHeight="1" x14ac:dyDescent="0.25">
      <c r="A396" s="170" t="s">
        <v>1786</v>
      </c>
      <c r="B396" s="171" t="s">
        <v>1787</v>
      </c>
    </row>
    <row r="397" spans="1:2" ht="12.75" customHeight="1" x14ac:dyDescent="0.25">
      <c r="A397" s="170" t="s">
        <v>1788</v>
      </c>
      <c r="B397" s="171" t="s">
        <v>1789</v>
      </c>
    </row>
    <row r="398" spans="1:2" ht="12.75" customHeight="1" x14ac:dyDescent="0.25">
      <c r="A398" s="170" t="s">
        <v>1790</v>
      </c>
      <c r="B398" s="171" t="s">
        <v>1791</v>
      </c>
    </row>
    <row r="399" spans="1:2" ht="12.75" customHeight="1" x14ac:dyDescent="0.25">
      <c r="A399" s="170" t="s">
        <v>1792</v>
      </c>
      <c r="B399" s="171" t="s">
        <v>1793</v>
      </c>
    </row>
    <row r="400" spans="1:2" ht="12.75" customHeight="1" x14ac:dyDescent="0.25">
      <c r="A400" s="170" t="s">
        <v>1794</v>
      </c>
      <c r="B400" s="171" t="s">
        <v>1794</v>
      </c>
    </row>
    <row r="401" spans="1:2" ht="12.75" customHeight="1" x14ac:dyDescent="0.25">
      <c r="A401" s="170" t="s">
        <v>1795</v>
      </c>
      <c r="B401" s="171" t="s">
        <v>1796</v>
      </c>
    </row>
    <row r="402" spans="1:2" ht="12.75" customHeight="1" x14ac:dyDescent="0.25">
      <c r="A402" s="170" t="s">
        <v>1797</v>
      </c>
      <c r="B402" s="171" t="s">
        <v>1798</v>
      </c>
    </row>
    <row r="403" spans="1:2" ht="12.75" customHeight="1" x14ac:dyDescent="0.25">
      <c r="A403" s="170" t="s">
        <v>1799</v>
      </c>
      <c r="B403" s="171" t="s">
        <v>1800</v>
      </c>
    </row>
    <row r="404" spans="1:2" ht="12.75" customHeight="1" x14ac:dyDescent="0.25">
      <c r="A404" s="170" t="s">
        <v>1801</v>
      </c>
      <c r="B404" s="171" t="s">
        <v>1802</v>
      </c>
    </row>
    <row r="405" spans="1:2" ht="12.75" customHeight="1" x14ac:dyDescent="0.25">
      <c r="A405" s="170" t="s">
        <v>1803</v>
      </c>
      <c r="B405" s="171" t="s">
        <v>1804</v>
      </c>
    </row>
    <row r="406" spans="1:2" ht="12.75" customHeight="1" x14ac:dyDescent="0.25">
      <c r="A406" s="170" t="s">
        <v>1805</v>
      </c>
      <c r="B406" s="171" t="s">
        <v>1806</v>
      </c>
    </row>
    <row r="407" spans="1:2" ht="12.75" customHeight="1" x14ac:dyDescent="0.25">
      <c r="A407" s="170" t="s">
        <v>1807</v>
      </c>
      <c r="B407" s="171" t="s">
        <v>1808</v>
      </c>
    </row>
    <row r="408" spans="1:2" ht="12.75" customHeight="1" x14ac:dyDescent="0.25">
      <c r="A408" s="170" t="s">
        <v>1809</v>
      </c>
      <c r="B408" s="171" t="s">
        <v>1810</v>
      </c>
    </row>
    <row r="409" spans="1:2" ht="12.75" customHeight="1" x14ac:dyDescent="0.25">
      <c r="A409" s="170" t="s">
        <v>1811</v>
      </c>
      <c r="B409" s="171" t="s">
        <v>1812</v>
      </c>
    </row>
    <row r="410" spans="1:2" ht="12.75" customHeight="1" x14ac:dyDescent="0.25">
      <c r="A410" s="170" t="s">
        <v>1813</v>
      </c>
      <c r="B410" s="171" t="s">
        <v>1814</v>
      </c>
    </row>
    <row r="411" spans="1:2" ht="12.75" customHeight="1" x14ac:dyDescent="0.25">
      <c r="A411" s="170" t="s">
        <v>5</v>
      </c>
      <c r="B411" s="171" t="s">
        <v>1815</v>
      </c>
    </row>
    <row r="412" spans="1:2" ht="12.75" customHeight="1" x14ac:dyDescent="0.25">
      <c r="A412" s="170" t="s">
        <v>1816</v>
      </c>
      <c r="B412" s="171" t="s">
        <v>1817</v>
      </c>
    </row>
    <row r="413" spans="1:2" ht="12.75" customHeight="1" x14ac:dyDescent="0.25">
      <c r="A413" s="170" t="s">
        <v>1818</v>
      </c>
      <c r="B413" s="171" t="s">
        <v>1819</v>
      </c>
    </row>
    <row r="414" spans="1:2" ht="12.75" customHeight="1" x14ac:dyDescent="0.25">
      <c r="A414" s="170" t="s">
        <v>1820</v>
      </c>
      <c r="B414" s="171" t="s">
        <v>1821</v>
      </c>
    </row>
    <row r="415" spans="1:2" ht="12.75" customHeight="1" x14ac:dyDescent="0.25">
      <c r="A415" s="170" t="s">
        <v>1822</v>
      </c>
      <c r="B415" s="171" t="s">
        <v>1823</v>
      </c>
    </row>
    <row r="416" spans="1:2" ht="12.75" customHeight="1" x14ac:dyDescent="0.25">
      <c r="A416" s="170" t="s">
        <v>1824</v>
      </c>
      <c r="B416" s="171" t="s">
        <v>1825</v>
      </c>
    </row>
    <row r="417" spans="1:2" ht="12.75" customHeight="1" x14ac:dyDescent="0.25">
      <c r="A417" s="170" t="s">
        <v>1826</v>
      </c>
      <c r="B417" s="171" t="s">
        <v>1827</v>
      </c>
    </row>
    <row r="418" spans="1:2" ht="12.75" customHeight="1" x14ac:dyDescent="0.25">
      <c r="A418" s="170" t="s">
        <v>1828</v>
      </c>
      <c r="B418" s="171" t="s">
        <v>1829</v>
      </c>
    </row>
    <row r="419" spans="1:2" ht="12.75" customHeight="1" x14ac:dyDescent="0.25">
      <c r="A419" s="170" t="s">
        <v>1830</v>
      </c>
      <c r="B419" s="171" t="s">
        <v>1831</v>
      </c>
    </row>
    <row r="420" spans="1:2" ht="12.75" customHeight="1" x14ac:dyDescent="0.25">
      <c r="A420" s="170" t="s">
        <v>1832</v>
      </c>
      <c r="B420" s="171" t="s">
        <v>1833</v>
      </c>
    </row>
    <row r="421" spans="1:2" ht="12.75" customHeight="1" x14ac:dyDescent="0.25">
      <c r="A421" s="170" t="s">
        <v>1834</v>
      </c>
      <c r="B421" s="171" t="s">
        <v>1835</v>
      </c>
    </row>
    <row r="422" spans="1:2" ht="12.75" customHeight="1" x14ac:dyDescent="0.25">
      <c r="A422" s="170" t="s">
        <v>1836</v>
      </c>
      <c r="B422" s="171" t="s">
        <v>1837</v>
      </c>
    </row>
    <row r="423" spans="1:2" ht="12.75" customHeight="1" x14ac:dyDescent="0.25">
      <c r="A423" s="170" t="s">
        <v>1838</v>
      </c>
      <c r="B423" s="171" t="s">
        <v>1839</v>
      </c>
    </row>
    <row r="424" spans="1:2" ht="12.75" customHeight="1" x14ac:dyDescent="0.25">
      <c r="A424" s="170" t="s">
        <v>1840</v>
      </c>
      <c r="B424" s="171" t="s">
        <v>1841</v>
      </c>
    </row>
    <row r="425" spans="1:2" ht="12.75" customHeight="1" x14ac:dyDescent="0.25">
      <c r="A425" s="170" t="s">
        <v>1842</v>
      </c>
      <c r="B425" s="171" t="s">
        <v>1843</v>
      </c>
    </row>
    <row r="426" spans="1:2" ht="12.75" customHeight="1" x14ac:dyDescent="0.25">
      <c r="A426" s="170" t="s">
        <v>1844</v>
      </c>
      <c r="B426" s="171" t="s">
        <v>1845</v>
      </c>
    </row>
    <row r="427" spans="1:2" ht="12.75" customHeight="1" x14ac:dyDescent="0.25">
      <c r="A427" s="170" t="s">
        <v>1644</v>
      </c>
      <c r="B427" s="171" t="s">
        <v>1846</v>
      </c>
    </row>
    <row r="428" spans="1:2" ht="12.75" customHeight="1" x14ac:dyDescent="0.25">
      <c r="A428" s="170" t="s">
        <v>1847</v>
      </c>
      <c r="B428" s="171" t="s">
        <v>1848</v>
      </c>
    </row>
    <row r="429" spans="1:2" ht="12.75" customHeight="1" x14ac:dyDescent="0.25">
      <c r="A429" s="170" t="s">
        <v>1849</v>
      </c>
      <c r="B429" s="171" t="s">
        <v>1850</v>
      </c>
    </row>
    <row r="430" spans="1:2" ht="12.75" customHeight="1" x14ac:dyDescent="0.25">
      <c r="A430" s="170" t="s">
        <v>1851</v>
      </c>
      <c r="B430" s="171" t="s">
        <v>1852</v>
      </c>
    </row>
    <row r="431" spans="1:2" ht="12.75" customHeight="1" x14ac:dyDescent="0.25">
      <c r="A431" s="170" t="s">
        <v>1853</v>
      </c>
      <c r="B431" s="171" t="s">
        <v>1854</v>
      </c>
    </row>
    <row r="432" spans="1:2" ht="12.75" customHeight="1" x14ac:dyDescent="0.25">
      <c r="A432" s="170" t="s">
        <v>1855</v>
      </c>
      <c r="B432" s="171" t="s">
        <v>1856</v>
      </c>
    </row>
    <row r="433" spans="1:2" ht="12.75" customHeight="1" x14ac:dyDescent="0.25">
      <c r="A433" s="170" t="s">
        <v>1857</v>
      </c>
      <c r="B433" s="171" t="s">
        <v>1858</v>
      </c>
    </row>
    <row r="434" spans="1:2" ht="12.75" customHeight="1" x14ac:dyDescent="0.25">
      <c r="A434" s="170" t="s">
        <v>1859</v>
      </c>
      <c r="B434" s="171" t="s">
        <v>1860</v>
      </c>
    </row>
    <row r="435" spans="1:2" ht="12.75" customHeight="1" x14ac:dyDescent="0.25">
      <c r="A435" s="170" t="s">
        <v>1861</v>
      </c>
      <c r="B435" s="171" t="s">
        <v>1862</v>
      </c>
    </row>
    <row r="436" spans="1:2" ht="12.75" customHeight="1" x14ac:dyDescent="0.25">
      <c r="A436" s="170" t="s">
        <v>1863</v>
      </c>
      <c r="B436" s="171" t="s">
        <v>1864</v>
      </c>
    </row>
    <row r="437" spans="1:2" ht="12.75" customHeight="1" x14ac:dyDescent="0.25">
      <c r="A437" s="170" t="s">
        <v>1865</v>
      </c>
      <c r="B437" s="171" t="s">
        <v>1866</v>
      </c>
    </row>
    <row r="438" spans="1:2" ht="12.75" customHeight="1" x14ac:dyDescent="0.25">
      <c r="A438" s="170" t="s">
        <v>1867</v>
      </c>
      <c r="B438" s="171" t="s">
        <v>1868</v>
      </c>
    </row>
    <row r="439" spans="1:2" ht="12.75" customHeight="1" x14ac:dyDescent="0.25">
      <c r="A439" s="170" t="s">
        <v>1869</v>
      </c>
      <c r="B439" s="171" t="s">
        <v>1870</v>
      </c>
    </row>
    <row r="440" spans="1:2" ht="12.75" customHeight="1" x14ac:dyDescent="0.25">
      <c r="A440" s="170" t="s">
        <v>1871</v>
      </c>
      <c r="B440" s="171" t="s">
        <v>1872</v>
      </c>
    </row>
    <row r="441" spans="1:2" ht="12.75" customHeight="1" x14ac:dyDescent="0.25">
      <c r="A441" s="170" t="s">
        <v>1873</v>
      </c>
      <c r="B441" s="171" t="s">
        <v>1874</v>
      </c>
    </row>
    <row r="442" spans="1:2" ht="12.75" customHeight="1" x14ac:dyDescent="0.25">
      <c r="A442" s="170" t="s">
        <v>1875</v>
      </c>
      <c r="B442" s="171" t="s">
        <v>1876</v>
      </c>
    </row>
    <row r="443" spans="1:2" ht="12.75" customHeight="1" x14ac:dyDescent="0.25">
      <c r="A443" s="170" t="s">
        <v>1877</v>
      </c>
      <c r="B443" s="171" t="s">
        <v>1878</v>
      </c>
    </row>
    <row r="444" spans="1:2" ht="12.75" customHeight="1" x14ac:dyDescent="0.25">
      <c r="A444" s="170" t="s">
        <v>1879</v>
      </c>
      <c r="B444" s="171" t="s">
        <v>1880</v>
      </c>
    </row>
    <row r="445" spans="1:2" ht="12.75" customHeight="1" x14ac:dyDescent="0.25">
      <c r="A445" s="170" t="s">
        <v>1881</v>
      </c>
      <c r="B445" s="171" t="s">
        <v>1881</v>
      </c>
    </row>
    <row r="446" spans="1:2" ht="12.75" customHeight="1" x14ac:dyDescent="0.25">
      <c r="A446" s="170" t="s">
        <v>1882</v>
      </c>
      <c r="B446" s="171" t="s">
        <v>1883</v>
      </c>
    </row>
    <row r="447" spans="1:2" ht="12.75" customHeight="1" x14ac:dyDescent="0.25">
      <c r="A447" s="170" t="s">
        <v>1884</v>
      </c>
      <c r="B447" s="171" t="s">
        <v>1885</v>
      </c>
    </row>
    <row r="448" spans="1:2" ht="12.75" customHeight="1" x14ac:dyDescent="0.25">
      <c r="A448" s="170" t="s">
        <v>1886</v>
      </c>
      <c r="B448" s="171" t="s">
        <v>1887</v>
      </c>
    </row>
    <row r="449" spans="1:2" ht="12.75" customHeight="1" x14ac:dyDescent="0.25">
      <c r="A449" s="170" t="s">
        <v>1888</v>
      </c>
      <c r="B449" s="171" t="s">
        <v>1889</v>
      </c>
    </row>
    <row r="450" spans="1:2" ht="12.75" customHeight="1" x14ac:dyDescent="0.25">
      <c r="A450" s="170" t="s">
        <v>1890</v>
      </c>
      <c r="B450" s="171" t="s">
        <v>1891</v>
      </c>
    </row>
    <row r="451" spans="1:2" ht="12.75" customHeight="1" x14ac:dyDescent="0.25">
      <c r="A451" s="170" t="s">
        <v>1892</v>
      </c>
      <c r="B451" s="171" t="s">
        <v>1893</v>
      </c>
    </row>
    <row r="452" spans="1:2" ht="12.75" customHeight="1" x14ac:dyDescent="0.25">
      <c r="A452" s="170" t="s">
        <v>1894</v>
      </c>
      <c r="B452" s="171" t="s">
        <v>1895</v>
      </c>
    </row>
    <row r="453" spans="1:2" ht="12.75" customHeight="1" x14ac:dyDescent="0.25">
      <c r="A453" s="170" t="s">
        <v>1896</v>
      </c>
      <c r="B453" s="171" t="s">
        <v>1897</v>
      </c>
    </row>
    <row r="454" spans="1:2" ht="12.75" customHeight="1" x14ac:dyDescent="0.25">
      <c r="A454" s="170" t="s">
        <v>1898</v>
      </c>
      <c r="B454" s="171" t="s">
        <v>1899</v>
      </c>
    </row>
    <row r="455" spans="1:2" ht="12.75" customHeight="1" x14ac:dyDescent="0.25">
      <c r="A455" s="170" t="s">
        <v>1900</v>
      </c>
      <c r="B455" s="171" t="s">
        <v>1901</v>
      </c>
    </row>
    <row r="456" spans="1:2" ht="12.75" customHeight="1" x14ac:dyDescent="0.25">
      <c r="A456" s="170" t="s">
        <v>1902</v>
      </c>
      <c r="B456" s="171" t="s">
        <v>1903</v>
      </c>
    </row>
    <row r="457" spans="1:2" ht="12.75" customHeight="1" x14ac:dyDescent="0.25">
      <c r="A457" s="170" t="s">
        <v>1904</v>
      </c>
      <c r="B457" s="171" t="s">
        <v>1905</v>
      </c>
    </row>
    <row r="458" spans="1:2" ht="12.75" customHeight="1" x14ac:dyDescent="0.25">
      <c r="A458" s="170" t="s">
        <v>1906</v>
      </c>
      <c r="B458" s="171" t="s">
        <v>1907</v>
      </c>
    </row>
    <row r="459" spans="1:2" ht="12.75" customHeight="1" x14ac:dyDescent="0.25">
      <c r="A459" s="170" t="s">
        <v>1908</v>
      </c>
      <c r="B459" s="171" t="s">
        <v>1909</v>
      </c>
    </row>
    <row r="460" spans="1:2" ht="12.75" customHeight="1" x14ac:dyDescent="0.25">
      <c r="A460" s="170" t="s">
        <v>1910</v>
      </c>
      <c r="B460" s="171" t="s">
        <v>1911</v>
      </c>
    </row>
    <row r="461" spans="1:2" ht="12.75" customHeight="1" x14ac:dyDescent="0.25">
      <c r="A461" s="170" t="s">
        <v>1912</v>
      </c>
      <c r="B461" s="171" t="s">
        <v>1913</v>
      </c>
    </row>
    <row r="462" spans="1:2" ht="12.75" customHeight="1" x14ac:dyDescent="0.25">
      <c r="A462" s="170" t="s">
        <v>1914</v>
      </c>
      <c r="B462" s="171" t="s">
        <v>1915</v>
      </c>
    </row>
    <row r="463" spans="1:2" ht="12.75" customHeight="1" x14ac:dyDescent="0.25">
      <c r="A463" s="170" t="s">
        <v>1916</v>
      </c>
      <c r="B463" s="171" t="s">
        <v>1917</v>
      </c>
    </row>
    <row r="464" spans="1:2" ht="12.75" customHeight="1" x14ac:dyDescent="0.25"/>
    <row r="465" spans="1:3" ht="12.75" customHeight="1" x14ac:dyDescent="0.25"/>
    <row r="466" spans="1:3" ht="12.75" customHeight="1" x14ac:dyDescent="0.25">
      <c r="A466" s="382" t="s">
        <v>1918</v>
      </c>
      <c r="B466" s="382"/>
      <c r="C466" s="382"/>
    </row>
    <row r="467" spans="1:3" ht="12.75" customHeight="1" x14ac:dyDescent="0.25"/>
    <row r="468" spans="1:3" ht="12.75" customHeight="1" x14ac:dyDescent="0.25">
      <c r="A468" s="172" t="s">
        <v>1232</v>
      </c>
      <c r="B468" s="146" t="s">
        <v>1919</v>
      </c>
    </row>
    <row r="469" spans="1:3" ht="12.75" customHeight="1" x14ac:dyDescent="0.25">
      <c r="A469" s="172" t="s">
        <v>1233</v>
      </c>
      <c r="B469" s="119" t="s">
        <v>1920</v>
      </c>
    </row>
    <row r="470" spans="1:3" ht="12.75" customHeight="1" x14ac:dyDescent="0.25">
      <c r="A470" s="173" t="s">
        <v>1235</v>
      </c>
      <c r="B470" s="174" t="s">
        <v>1572</v>
      </c>
      <c r="C470" s="174" t="s">
        <v>1921</v>
      </c>
    </row>
    <row r="471" spans="1:3" ht="12.75" customHeight="1" x14ac:dyDescent="0.25">
      <c r="A471" s="151" t="s">
        <v>39</v>
      </c>
      <c r="B471" s="161" t="s">
        <v>1922</v>
      </c>
      <c r="C471" s="151" t="s">
        <v>1923</v>
      </c>
    </row>
    <row r="472" spans="1:3" ht="12.75" customHeight="1" x14ac:dyDescent="0.25">
      <c r="A472" s="151" t="s">
        <v>40</v>
      </c>
      <c r="B472" s="161" t="s">
        <v>1924</v>
      </c>
      <c r="C472" s="151" t="s">
        <v>1925</v>
      </c>
    </row>
    <row r="473" spans="1:3" ht="12.75" customHeight="1" x14ac:dyDescent="0.25">
      <c r="A473" s="151" t="s">
        <v>41</v>
      </c>
      <c r="B473" s="161" t="s">
        <v>1926</v>
      </c>
      <c r="C473" s="151" t="s">
        <v>1927</v>
      </c>
    </row>
    <row r="474" spans="1:3" ht="12.75" customHeight="1" x14ac:dyDescent="0.25">
      <c r="A474" s="151" t="s">
        <v>1239</v>
      </c>
      <c r="B474" s="161" t="s">
        <v>1928</v>
      </c>
      <c r="C474" s="151" t="s">
        <v>1929</v>
      </c>
    </row>
    <row r="475" spans="1:3" ht="12.75" customHeight="1" x14ac:dyDescent="0.25">
      <c r="A475" s="151" t="s">
        <v>1241</v>
      </c>
      <c r="B475" s="161" t="s">
        <v>1930</v>
      </c>
      <c r="C475" s="151" t="s">
        <v>1931</v>
      </c>
    </row>
    <row r="476" spans="1:3" ht="12.75" customHeight="1" x14ac:dyDescent="0.25">
      <c r="A476" s="151" t="s">
        <v>1243</v>
      </c>
      <c r="B476" s="161" t="s">
        <v>1932</v>
      </c>
      <c r="C476" s="151" t="s">
        <v>1933</v>
      </c>
    </row>
    <row r="477" spans="1:3" ht="12.75" customHeight="1" x14ac:dyDescent="0.25">
      <c r="A477" s="151" t="s">
        <v>1245</v>
      </c>
      <c r="B477" s="161" t="s">
        <v>1934</v>
      </c>
      <c r="C477" s="151" t="s">
        <v>1935</v>
      </c>
    </row>
    <row r="478" spans="1:3" ht="12.75" customHeight="1" x14ac:dyDescent="0.25">
      <c r="A478" s="151" t="s">
        <v>1247</v>
      </c>
      <c r="B478" s="161" t="s">
        <v>1936</v>
      </c>
      <c r="C478" s="151" t="s">
        <v>1937</v>
      </c>
    </row>
    <row r="479" spans="1:3" ht="12.75" customHeight="1" x14ac:dyDescent="0.25">
      <c r="A479" s="151" t="s">
        <v>1249</v>
      </c>
      <c r="B479" s="161" t="s">
        <v>1938</v>
      </c>
      <c r="C479" s="151" t="s">
        <v>1939</v>
      </c>
    </row>
    <row r="480" spans="1:3" ht="12.75" customHeight="1" x14ac:dyDescent="0.25">
      <c r="A480" s="151">
        <v>10</v>
      </c>
      <c r="B480" s="161" t="s">
        <v>1940</v>
      </c>
      <c r="C480" s="151" t="s">
        <v>1941</v>
      </c>
    </row>
    <row r="481" spans="1:3" ht="12.75" customHeight="1" x14ac:dyDescent="0.25">
      <c r="A481" s="151">
        <v>11</v>
      </c>
      <c r="B481" s="161" t="s">
        <v>1942</v>
      </c>
      <c r="C481" s="151" t="s">
        <v>1943</v>
      </c>
    </row>
    <row r="482" spans="1:3" ht="12.75" customHeight="1" x14ac:dyDescent="0.25">
      <c r="A482" s="151">
        <v>12</v>
      </c>
      <c r="B482" s="161" t="s">
        <v>1944</v>
      </c>
      <c r="C482" s="151" t="s">
        <v>1772</v>
      </c>
    </row>
  </sheetData>
  <mergeCells count="11">
    <mergeCell ref="A108:B108"/>
    <mergeCell ref="A109:B109"/>
    <mergeCell ref="A285:A286"/>
    <mergeCell ref="C285:C286"/>
    <mergeCell ref="A466:C466"/>
    <mergeCell ref="A77:B77"/>
    <mergeCell ref="A1:C1"/>
    <mergeCell ref="A2:C2"/>
    <mergeCell ref="A52:B52"/>
    <mergeCell ref="A53:B53"/>
    <mergeCell ref="A76:B76"/>
  </mergeCells>
  <hyperlinks>
    <hyperlink ref="A77" r:id="rId1"/>
    <hyperlink ref="A109" r:id="rId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59"/>
  <sheetViews>
    <sheetView workbookViewId="0">
      <selection activeCell="B8" sqref="B8"/>
    </sheetView>
  </sheetViews>
  <sheetFormatPr defaultColWidth="11.42578125" defaultRowHeight="15" zeroHeight="1" x14ac:dyDescent="0.25"/>
  <cols>
    <col min="1" max="1" width="7.85546875" style="261" customWidth="1"/>
    <col min="2" max="2" width="135.140625" style="262" bestFit="1" customWidth="1"/>
  </cols>
  <sheetData>
    <row r="1" spans="1:2" s="251" customFormat="1" x14ac:dyDescent="0.25">
      <c r="A1" s="250" t="s">
        <v>1235</v>
      </c>
      <c r="B1" s="250" t="s">
        <v>2117</v>
      </c>
    </row>
    <row r="2" spans="1:2" x14ac:dyDescent="0.25">
      <c r="A2" s="252" t="s">
        <v>58</v>
      </c>
      <c r="B2" s="253" t="s">
        <v>58</v>
      </c>
    </row>
    <row r="3" spans="1:2" x14ac:dyDescent="0.25">
      <c r="A3" s="252" t="s">
        <v>2118</v>
      </c>
      <c r="B3" s="253" t="s">
        <v>2119</v>
      </c>
    </row>
    <row r="4" spans="1:2" x14ac:dyDescent="0.25">
      <c r="A4" s="252" t="s">
        <v>2120</v>
      </c>
      <c r="B4" s="253" t="s">
        <v>2121</v>
      </c>
    </row>
    <row r="5" spans="1:2" x14ac:dyDescent="0.25">
      <c r="A5" s="252" t="s">
        <v>2122</v>
      </c>
      <c r="B5" s="253" t="s">
        <v>2123</v>
      </c>
    </row>
    <row r="6" spans="1:2" x14ac:dyDescent="0.25">
      <c r="A6" s="252" t="s">
        <v>2124</v>
      </c>
      <c r="B6" s="253" t="s">
        <v>2125</v>
      </c>
    </row>
    <row r="7" spans="1:2" x14ac:dyDescent="0.25">
      <c r="A7" s="252" t="s">
        <v>2126</v>
      </c>
      <c r="B7" s="253" t="s">
        <v>2127</v>
      </c>
    </row>
    <row r="8" spans="1:2" x14ac:dyDescent="0.25">
      <c r="A8" s="252" t="s">
        <v>2128</v>
      </c>
      <c r="B8" s="253" t="s">
        <v>2129</v>
      </c>
    </row>
    <row r="9" spans="1:2" x14ac:dyDescent="0.25">
      <c r="A9" s="252" t="s">
        <v>2130</v>
      </c>
      <c r="B9" s="253" t="s">
        <v>2131</v>
      </c>
    </row>
    <row r="10" spans="1:2" x14ac:dyDescent="0.25">
      <c r="A10" s="252" t="s">
        <v>2132</v>
      </c>
      <c r="B10" s="253" t="s">
        <v>2133</v>
      </c>
    </row>
    <row r="11" spans="1:2" x14ac:dyDescent="0.25">
      <c r="A11" s="252" t="s">
        <v>2134</v>
      </c>
      <c r="B11" s="253" t="s">
        <v>2135</v>
      </c>
    </row>
    <row r="12" spans="1:2" x14ac:dyDescent="0.25">
      <c r="A12" s="252" t="s">
        <v>2136</v>
      </c>
      <c r="B12" s="253" t="s">
        <v>2137</v>
      </c>
    </row>
    <row r="13" spans="1:2" x14ac:dyDescent="0.25">
      <c r="A13" s="252" t="s">
        <v>2138</v>
      </c>
      <c r="B13" s="253" t="s">
        <v>2139</v>
      </c>
    </row>
    <row r="14" spans="1:2" x14ac:dyDescent="0.25">
      <c r="A14" s="252" t="s">
        <v>2140</v>
      </c>
      <c r="B14" s="253" t="s">
        <v>2141</v>
      </c>
    </row>
    <row r="15" spans="1:2" x14ac:dyDescent="0.25">
      <c r="A15" s="252" t="s">
        <v>2142</v>
      </c>
      <c r="B15" s="253" t="s">
        <v>2143</v>
      </c>
    </row>
    <row r="16" spans="1:2" x14ac:dyDescent="0.25">
      <c r="A16" s="252" t="s">
        <v>2144</v>
      </c>
      <c r="B16" s="253" t="s">
        <v>2145</v>
      </c>
    </row>
    <row r="17" spans="1:2" x14ac:dyDescent="0.25">
      <c r="A17" s="252" t="s">
        <v>2146</v>
      </c>
      <c r="B17" s="253" t="s">
        <v>2147</v>
      </c>
    </row>
    <row r="18" spans="1:2" x14ac:dyDescent="0.25">
      <c r="A18" s="252" t="s">
        <v>2148</v>
      </c>
      <c r="B18" s="253" t="s">
        <v>2149</v>
      </c>
    </row>
    <row r="19" spans="1:2" x14ac:dyDescent="0.25">
      <c r="A19" s="252" t="s">
        <v>2150</v>
      </c>
      <c r="B19" s="253" t="s">
        <v>2151</v>
      </c>
    </row>
    <row r="20" spans="1:2" x14ac:dyDescent="0.25">
      <c r="A20" s="252" t="s">
        <v>2152</v>
      </c>
      <c r="B20" s="253" t="s">
        <v>2153</v>
      </c>
    </row>
    <row r="21" spans="1:2" x14ac:dyDescent="0.25">
      <c r="A21" s="252" t="s">
        <v>2154</v>
      </c>
      <c r="B21" s="253" t="s">
        <v>2155</v>
      </c>
    </row>
    <row r="22" spans="1:2" x14ac:dyDescent="0.25">
      <c r="A22" s="252" t="s">
        <v>2156</v>
      </c>
      <c r="B22" s="253" t="s">
        <v>2157</v>
      </c>
    </row>
    <row r="23" spans="1:2" x14ac:dyDescent="0.25">
      <c r="A23" s="252" t="s">
        <v>2158</v>
      </c>
      <c r="B23" s="253" t="s">
        <v>2159</v>
      </c>
    </row>
    <row r="24" spans="1:2" x14ac:dyDescent="0.25">
      <c r="A24" s="252" t="s">
        <v>2160</v>
      </c>
      <c r="B24" s="253" t="s">
        <v>2161</v>
      </c>
    </row>
    <row r="25" spans="1:2" x14ac:dyDescent="0.25">
      <c r="A25" s="252" t="s">
        <v>2162</v>
      </c>
      <c r="B25" s="253" t="s">
        <v>2163</v>
      </c>
    </row>
    <row r="26" spans="1:2" x14ac:dyDescent="0.25">
      <c r="A26" s="252" t="s">
        <v>2164</v>
      </c>
      <c r="B26" s="253" t="s">
        <v>2165</v>
      </c>
    </row>
    <row r="27" spans="1:2" x14ac:dyDescent="0.25">
      <c r="A27" s="254" t="s">
        <v>2166</v>
      </c>
      <c r="B27" s="253" t="s">
        <v>2167</v>
      </c>
    </row>
    <row r="28" spans="1:2" x14ac:dyDescent="0.25">
      <c r="A28" s="252" t="s">
        <v>2168</v>
      </c>
      <c r="B28" s="253" t="s">
        <v>2169</v>
      </c>
    </row>
    <row r="29" spans="1:2" x14ac:dyDescent="0.25">
      <c r="A29" s="252" t="s">
        <v>2170</v>
      </c>
      <c r="B29" s="253" t="s">
        <v>2171</v>
      </c>
    </row>
    <row r="30" spans="1:2" x14ac:dyDescent="0.25">
      <c r="A30" s="252" t="s">
        <v>2172</v>
      </c>
      <c r="B30" s="253" t="s">
        <v>2173</v>
      </c>
    </row>
    <row r="31" spans="1:2" x14ac:dyDescent="0.25">
      <c r="A31" s="252" t="s">
        <v>2174</v>
      </c>
      <c r="B31" s="253" t="s">
        <v>2175</v>
      </c>
    </row>
    <row r="32" spans="1:2" x14ac:dyDescent="0.25">
      <c r="A32" s="252" t="s">
        <v>2176</v>
      </c>
      <c r="B32" s="253" t="s">
        <v>2177</v>
      </c>
    </row>
    <row r="33" spans="1:2" x14ac:dyDescent="0.25">
      <c r="A33" s="252" t="s">
        <v>2178</v>
      </c>
      <c r="B33" s="253" t="s">
        <v>2179</v>
      </c>
    </row>
    <row r="34" spans="1:2" x14ac:dyDescent="0.25">
      <c r="A34" s="252" t="s">
        <v>2180</v>
      </c>
      <c r="B34" s="253" t="s">
        <v>2181</v>
      </c>
    </row>
    <row r="35" spans="1:2" x14ac:dyDescent="0.25">
      <c r="A35" s="252" t="s">
        <v>2182</v>
      </c>
      <c r="B35" s="253" t="s">
        <v>2183</v>
      </c>
    </row>
    <row r="36" spans="1:2" x14ac:dyDescent="0.25">
      <c r="A36" s="252" t="s">
        <v>2184</v>
      </c>
      <c r="B36" s="253" t="s">
        <v>2185</v>
      </c>
    </row>
    <row r="37" spans="1:2" x14ac:dyDescent="0.25">
      <c r="A37" s="252" t="s">
        <v>2186</v>
      </c>
      <c r="B37" s="253" t="s">
        <v>2187</v>
      </c>
    </row>
    <row r="38" spans="1:2" x14ac:dyDescent="0.25">
      <c r="A38" s="252" t="s">
        <v>2188</v>
      </c>
      <c r="B38" s="253" t="s">
        <v>2189</v>
      </c>
    </row>
    <row r="39" spans="1:2" x14ac:dyDescent="0.25">
      <c r="A39" s="252" t="s">
        <v>2190</v>
      </c>
      <c r="B39" s="253" t="s">
        <v>2191</v>
      </c>
    </row>
    <row r="40" spans="1:2" x14ac:dyDescent="0.25">
      <c r="A40" s="252" t="s">
        <v>2192</v>
      </c>
      <c r="B40" s="253" t="s">
        <v>2193</v>
      </c>
    </row>
    <row r="41" spans="1:2" x14ac:dyDescent="0.25">
      <c r="A41" s="252" t="s">
        <v>2194</v>
      </c>
      <c r="B41" s="253" t="s">
        <v>2195</v>
      </c>
    </row>
    <row r="42" spans="1:2" x14ac:dyDescent="0.25">
      <c r="A42" s="252" t="s">
        <v>2196</v>
      </c>
      <c r="B42" s="253" t="s">
        <v>2197</v>
      </c>
    </row>
    <row r="43" spans="1:2" x14ac:dyDescent="0.25">
      <c r="A43" s="252" t="s">
        <v>2198</v>
      </c>
      <c r="B43" s="253" t="s">
        <v>2199</v>
      </c>
    </row>
    <row r="44" spans="1:2" x14ac:dyDescent="0.25">
      <c r="A44" s="252" t="s">
        <v>2200</v>
      </c>
      <c r="B44" s="253" t="s">
        <v>2201</v>
      </c>
    </row>
    <row r="45" spans="1:2" x14ac:dyDescent="0.25">
      <c r="A45" s="252" t="s">
        <v>2202</v>
      </c>
      <c r="B45" s="253" t="s">
        <v>2203</v>
      </c>
    </row>
    <row r="46" spans="1:2" x14ac:dyDescent="0.25">
      <c r="A46" s="252" t="s">
        <v>2204</v>
      </c>
      <c r="B46" s="253" t="s">
        <v>2205</v>
      </c>
    </row>
    <row r="47" spans="1:2" x14ac:dyDescent="0.25">
      <c r="A47" s="252" t="s">
        <v>2206</v>
      </c>
      <c r="B47" s="253" t="s">
        <v>2207</v>
      </c>
    </row>
    <row r="48" spans="1:2" x14ac:dyDescent="0.25">
      <c r="A48" s="254" t="s">
        <v>2208</v>
      </c>
      <c r="B48" s="253" t="s">
        <v>2209</v>
      </c>
    </row>
    <row r="49" spans="1:2" x14ac:dyDescent="0.25">
      <c r="A49" s="252" t="s">
        <v>2210</v>
      </c>
      <c r="B49" s="253" t="s">
        <v>2211</v>
      </c>
    </row>
    <row r="50" spans="1:2" x14ac:dyDescent="0.25">
      <c r="A50" s="252" t="s">
        <v>2212</v>
      </c>
      <c r="B50" s="253" t="s">
        <v>2213</v>
      </c>
    </row>
    <row r="51" spans="1:2" x14ac:dyDescent="0.25">
      <c r="A51" s="252" t="s">
        <v>2214</v>
      </c>
      <c r="B51" s="253" t="s">
        <v>2215</v>
      </c>
    </row>
    <row r="52" spans="1:2" x14ac:dyDescent="0.25">
      <c r="A52" s="252" t="s">
        <v>2216</v>
      </c>
      <c r="B52" s="253" t="s">
        <v>2217</v>
      </c>
    </row>
    <row r="53" spans="1:2" x14ac:dyDescent="0.25">
      <c r="A53" s="252" t="s">
        <v>2218</v>
      </c>
      <c r="B53" s="253" t="s">
        <v>2219</v>
      </c>
    </row>
    <row r="54" spans="1:2" x14ac:dyDescent="0.25">
      <c r="A54" s="252" t="s">
        <v>2220</v>
      </c>
      <c r="B54" s="253" t="s">
        <v>2221</v>
      </c>
    </row>
    <row r="55" spans="1:2" x14ac:dyDescent="0.25">
      <c r="A55" s="252" t="s">
        <v>2222</v>
      </c>
      <c r="B55" s="253" t="s">
        <v>2223</v>
      </c>
    </row>
    <row r="56" spans="1:2" x14ac:dyDescent="0.25">
      <c r="A56" s="252" t="s">
        <v>2224</v>
      </c>
      <c r="B56" s="253" t="s">
        <v>2225</v>
      </c>
    </row>
    <row r="57" spans="1:2" x14ac:dyDescent="0.25">
      <c r="A57" s="252" t="s">
        <v>2226</v>
      </c>
      <c r="B57" s="253" t="s">
        <v>2227</v>
      </c>
    </row>
    <row r="58" spans="1:2" x14ac:dyDescent="0.25">
      <c r="A58" s="252" t="s">
        <v>2228</v>
      </c>
      <c r="B58" s="253" t="s">
        <v>2229</v>
      </c>
    </row>
    <row r="59" spans="1:2" x14ac:dyDescent="0.25">
      <c r="A59" s="252" t="s">
        <v>2230</v>
      </c>
      <c r="B59" s="253" t="s">
        <v>2231</v>
      </c>
    </row>
    <row r="60" spans="1:2" x14ac:dyDescent="0.25">
      <c r="A60" s="252" t="s">
        <v>2232</v>
      </c>
      <c r="B60" s="253" t="s">
        <v>2233</v>
      </c>
    </row>
    <row r="61" spans="1:2" x14ac:dyDescent="0.25">
      <c r="A61" s="252" t="s">
        <v>2234</v>
      </c>
      <c r="B61" s="253" t="s">
        <v>2235</v>
      </c>
    </row>
    <row r="62" spans="1:2" x14ac:dyDescent="0.25">
      <c r="A62" s="252" t="s">
        <v>78</v>
      </c>
      <c r="B62" s="253" t="s">
        <v>2236</v>
      </c>
    </row>
    <row r="63" spans="1:2" x14ac:dyDescent="0.25">
      <c r="A63" s="252" t="s">
        <v>2237</v>
      </c>
      <c r="B63" s="253" t="s">
        <v>2238</v>
      </c>
    </row>
    <row r="64" spans="1:2" x14ac:dyDescent="0.25">
      <c r="A64" s="252" t="s">
        <v>2239</v>
      </c>
      <c r="B64" s="253" t="s">
        <v>2240</v>
      </c>
    </row>
    <row r="65" spans="1:2" x14ac:dyDescent="0.25">
      <c r="A65" s="252" t="s">
        <v>2241</v>
      </c>
      <c r="B65" s="253" t="s">
        <v>2242</v>
      </c>
    </row>
    <row r="66" spans="1:2" x14ac:dyDescent="0.25">
      <c r="A66" s="252" t="s">
        <v>2243</v>
      </c>
      <c r="B66" s="253" t="s">
        <v>2244</v>
      </c>
    </row>
    <row r="67" spans="1:2" x14ac:dyDescent="0.25">
      <c r="A67" s="252" t="s">
        <v>2245</v>
      </c>
      <c r="B67" s="253" t="s">
        <v>2246</v>
      </c>
    </row>
    <row r="68" spans="1:2" x14ac:dyDescent="0.25">
      <c r="A68" s="252" t="s">
        <v>2247</v>
      </c>
      <c r="B68" s="253" t="s">
        <v>2248</v>
      </c>
    </row>
    <row r="69" spans="1:2" x14ac:dyDescent="0.25">
      <c r="A69" s="252" t="s">
        <v>2249</v>
      </c>
      <c r="B69" s="253" t="s">
        <v>2250</v>
      </c>
    </row>
    <row r="70" spans="1:2" x14ac:dyDescent="0.25">
      <c r="A70" s="252" t="s">
        <v>2251</v>
      </c>
      <c r="B70" s="253" t="s">
        <v>2252</v>
      </c>
    </row>
    <row r="71" spans="1:2" x14ac:dyDescent="0.25">
      <c r="A71" s="252" t="s">
        <v>2253</v>
      </c>
      <c r="B71" s="253" t="s">
        <v>2254</v>
      </c>
    </row>
    <row r="72" spans="1:2" x14ac:dyDescent="0.25">
      <c r="A72" s="252" t="s">
        <v>2255</v>
      </c>
      <c r="B72" s="253" t="s">
        <v>2256</v>
      </c>
    </row>
    <row r="73" spans="1:2" x14ac:dyDescent="0.25">
      <c r="A73" s="252" t="s">
        <v>2257</v>
      </c>
      <c r="B73" s="253" t="s">
        <v>2258</v>
      </c>
    </row>
    <row r="74" spans="1:2" x14ac:dyDescent="0.25">
      <c r="A74" s="252" t="s">
        <v>2259</v>
      </c>
      <c r="B74" s="253" t="s">
        <v>2238</v>
      </c>
    </row>
    <row r="75" spans="1:2" x14ac:dyDescent="0.25">
      <c r="A75" s="252" t="s">
        <v>2260</v>
      </c>
      <c r="B75" s="253" t="s">
        <v>2261</v>
      </c>
    </row>
    <row r="76" spans="1:2" x14ac:dyDescent="0.25">
      <c r="A76" s="252" t="s">
        <v>2262</v>
      </c>
      <c r="B76" s="253" t="s">
        <v>2246</v>
      </c>
    </row>
    <row r="77" spans="1:2" x14ac:dyDescent="0.25">
      <c r="A77" s="252" t="s">
        <v>2263</v>
      </c>
      <c r="B77" s="253" t="s">
        <v>2264</v>
      </c>
    </row>
    <row r="78" spans="1:2" x14ac:dyDescent="0.25">
      <c r="A78" s="252" t="s">
        <v>2265</v>
      </c>
      <c r="B78" s="253" t="s">
        <v>2266</v>
      </c>
    </row>
    <row r="79" spans="1:2" x14ac:dyDescent="0.25">
      <c r="A79" s="252" t="s">
        <v>2267</v>
      </c>
      <c r="B79" s="253" t="s">
        <v>2268</v>
      </c>
    </row>
    <row r="80" spans="1:2" x14ac:dyDescent="0.25">
      <c r="A80" s="252" t="s">
        <v>2269</v>
      </c>
      <c r="B80" s="253" t="s">
        <v>2254</v>
      </c>
    </row>
    <row r="81" spans="1:2" x14ac:dyDescent="0.25">
      <c r="A81" s="252" t="s">
        <v>2270</v>
      </c>
      <c r="B81" s="253" t="s">
        <v>2256</v>
      </c>
    </row>
    <row r="82" spans="1:2" x14ac:dyDescent="0.25">
      <c r="A82" s="252" t="s">
        <v>2271</v>
      </c>
      <c r="B82" s="253" t="s">
        <v>2272</v>
      </c>
    </row>
    <row r="83" spans="1:2" x14ac:dyDescent="0.25">
      <c r="A83" s="252" t="s">
        <v>2273</v>
      </c>
      <c r="B83" s="253" t="s">
        <v>2274</v>
      </c>
    </row>
    <row r="84" spans="1:2" x14ac:dyDescent="0.25">
      <c r="A84" s="252" t="s">
        <v>2275</v>
      </c>
      <c r="B84" s="253" t="s">
        <v>2276</v>
      </c>
    </row>
    <row r="85" spans="1:2" x14ac:dyDescent="0.25">
      <c r="A85" s="252" t="s">
        <v>2277</v>
      </c>
      <c r="B85" s="253" t="s">
        <v>2261</v>
      </c>
    </row>
    <row r="86" spans="1:2" x14ac:dyDescent="0.25">
      <c r="A86" s="252" t="s">
        <v>2278</v>
      </c>
      <c r="B86" s="253" t="s">
        <v>2246</v>
      </c>
    </row>
    <row r="87" spans="1:2" x14ac:dyDescent="0.25">
      <c r="A87" s="252" t="s">
        <v>2279</v>
      </c>
      <c r="B87" s="253" t="s">
        <v>2264</v>
      </c>
    </row>
    <row r="88" spans="1:2" x14ac:dyDescent="0.25">
      <c r="A88" s="252" t="s">
        <v>2280</v>
      </c>
      <c r="B88" s="253" t="s">
        <v>2266</v>
      </c>
    </row>
    <row r="89" spans="1:2" x14ac:dyDescent="0.25">
      <c r="A89" s="252" t="s">
        <v>2281</v>
      </c>
      <c r="B89" s="253" t="s">
        <v>2268</v>
      </c>
    </row>
    <row r="90" spans="1:2" x14ac:dyDescent="0.25">
      <c r="A90" s="252" t="s">
        <v>2282</v>
      </c>
      <c r="B90" s="253" t="s">
        <v>2254</v>
      </c>
    </row>
    <row r="91" spans="1:2" x14ac:dyDescent="0.25">
      <c r="A91" s="252" t="s">
        <v>2283</v>
      </c>
      <c r="B91" s="253" t="s">
        <v>2256</v>
      </c>
    </row>
    <row r="92" spans="1:2" x14ac:dyDescent="0.25">
      <c r="A92" s="252" t="s">
        <v>2284</v>
      </c>
      <c r="B92" s="253" t="s">
        <v>2285</v>
      </c>
    </row>
    <row r="93" spans="1:2" x14ac:dyDescent="0.25">
      <c r="A93" s="252" t="s">
        <v>88</v>
      </c>
      <c r="B93" s="253" t="s">
        <v>2286</v>
      </c>
    </row>
    <row r="94" spans="1:2" x14ac:dyDescent="0.25">
      <c r="A94" s="252" t="s">
        <v>84</v>
      </c>
      <c r="B94" s="253" t="s">
        <v>2287</v>
      </c>
    </row>
    <row r="95" spans="1:2" x14ac:dyDescent="0.25">
      <c r="A95" s="252" t="s">
        <v>147</v>
      </c>
      <c r="B95" s="253" t="s">
        <v>2288</v>
      </c>
    </row>
    <row r="96" spans="1:2" x14ac:dyDescent="0.25">
      <c r="A96" s="252" t="s">
        <v>80</v>
      </c>
      <c r="B96" s="253" t="s">
        <v>2289</v>
      </c>
    </row>
    <row r="97" spans="1:2" x14ac:dyDescent="0.25">
      <c r="A97" s="252" t="s">
        <v>82</v>
      </c>
      <c r="B97" s="253" t="s">
        <v>2290</v>
      </c>
    </row>
    <row r="98" spans="1:2" x14ac:dyDescent="0.25">
      <c r="A98" s="252" t="s">
        <v>158</v>
      </c>
      <c r="B98" s="253" t="s">
        <v>2291</v>
      </c>
    </row>
    <row r="99" spans="1:2" x14ac:dyDescent="0.25">
      <c r="A99" s="252" t="s">
        <v>2292</v>
      </c>
      <c r="B99" s="253" t="s">
        <v>2293</v>
      </c>
    </row>
    <row r="100" spans="1:2" x14ac:dyDescent="0.25">
      <c r="A100" s="252" t="s">
        <v>2294</v>
      </c>
      <c r="B100" s="253" t="s">
        <v>2295</v>
      </c>
    </row>
    <row r="101" spans="1:2" x14ac:dyDescent="0.25">
      <c r="A101" s="252" t="s">
        <v>2296</v>
      </c>
      <c r="B101" s="253" t="s">
        <v>2297</v>
      </c>
    </row>
    <row r="102" spans="1:2" x14ac:dyDescent="0.25">
      <c r="A102" s="252" t="s">
        <v>2298</v>
      </c>
      <c r="B102" s="253" t="s">
        <v>2299</v>
      </c>
    </row>
    <row r="103" spans="1:2" x14ac:dyDescent="0.25">
      <c r="A103" s="252" t="s">
        <v>2300</v>
      </c>
      <c r="B103" s="253" t="s">
        <v>2301</v>
      </c>
    </row>
    <row r="104" spans="1:2" x14ac:dyDescent="0.25">
      <c r="A104" s="252" t="s">
        <v>2302</v>
      </c>
      <c r="B104" s="253" t="s">
        <v>2303</v>
      </c>
    </row>
    <row r="105" spans="1:2" x14ac:dyDescent="0.25">
      <c r="A105" s="252" t="s">
        <v>2304</v>
      </c>
      <c r="B105" s="253" t="s">
        <v>2305</v>
      </c>
    </row>
    <row r="106" spans="1:2" x14ac:dyDescent="0.25">
      <c r="A106" s="252" t="s">
        <v>2306</v>
      </c>
      <c r="B106" s="253" t="s">
        <v>2307</v>
      </c>
    </row>
    <row r="107" spans="1:2" x14ac:dyDescent="0.25">
      <c r="A107" s="252" t="s">
        <v>2308</v>
      </c>
      <c r="B107" s="253" t="s">
        <v>2309</v>
      </c>
    </row>
    <row r="108" spans="1:2" x14ac:dyDescent="0.25">
      <c r="A108" s="252" t="s">
        <v>2310</v>
      </c>
      <c r="B108" s="253" t="s">
        <v>2311</v>
      </c>
    </row>
    <row r="109" spans="1:2" x14ac:dyDescent="0.25">
      <c r="A109" s="252" t="s">
        <v>2312</v>
      </c>
      <c r="B109" s="253" t="s">
        <v>2313</v>
      </c>
    </row>
    <row r="110" spans="1:2" x14ac:dyDescent="0.25">
      <c r="A110" s="252" t="s">
        <v>2314</v>
      </c>
      <c r="B110" s="253" t="s">
        <v>2315</v>
      </c>
    </row>
    <row r="111" spans="1:2" x14ac:dyDescent="0.25">
      <c r="A111" s="252" t="s">
        <v>105</v>
      </c>
      <c r="B111" s="253" t="s">
        <v>2316</v>
      </c>
    </row>
    <row r="112" spans="1:2" x14ac:dyDescent="0.25">
      <c r="A112" s="252" t="s">
        <v>107</v>
      </c>
      <c r="B112" s="253" t="s">
        <v>2317</v>
      </c>
    </row>
    <row r="113" spans="1:2" x14ac:dyDescent="0.25">
      <c r="A113" s="252" t="s">
        <v>2318</v>
      </c>
      <c r="B113" s="253" t="s">
        <v>2319</v>
      </c>
    </row>
    <row r="114" spans="1:2" x14ac:dyDescent="0.25">
      <c r="A114" s="252" t="s">
        <v>2320</v>
      </c>
      <c r="B114" s="253" t="s">
        <v>2321</v>
      </c>
    </row>
    <row r="115" spans="1:2" x14ac:dyDescent="0.25">
      <c r="A115" s="252" t="s">
        <v>2322</v>
      </c>
      <c r="B115" s="253" t="s">
        <v>2323</v>
      </c>
    </row>
    <row r="116" spans="1:2" x14ac:dyDescent="0.25">
      <c r="A116" s="252" t="s">
        <v>2324</v>
      </c>
      <c r="B116" s="253" t="s">
        <v>2325</v>
      </c>
    </row>
    <row r="117" spans="1:2" x14ac:dyDescent="0.25">
      <c r="A117" s="252" t="s">
        <v>2326</v>
      </c>
      <c r="B117" s="253" t="s">
        <v>2327</v>
      </c>
    </row>
    <row r="118" spans="1:2" x14ac:dyDescent="0.25">
      <c r="A118" s="252" t="s">
        <v>2328</v>
      </c>
      <c r="B118" s="253" t="s">
        <v>2329</v>
      </c>
    </row>
    <row r="119" spans="1:2" x14ac:dyDescent="0.25">
      <c r="A119" s="252" t="s">
        <v>2330</v>
      </c>
      <c r="B119" s="253" t="s">
        <v>2331</v>
      </c>
    </row>
    <row r="120" spans="1:2" x14ac:dyDescent="0.25">
      <c r="A120" s="252" t="s">
        <v>954</v>
      </c>
      <c r="B120" s="253" t="s">
        <v>2332</v>
      </c>
    </row>
    <row r="121" spans="1:2" x14ac:dyDescent="0.25">
      <c r="A121" s="252" t="s">
        <v>2333</v>
      </c>
      <c r="B121" s="253" t="s">
        <v>2334</v>
      </c>
    </row>
    <row r="122" spans="1:2" x14ac:dyDescent="0.25">
      <c r="A122" s="252" t="s">
        <v>2335</v>
      </c>
      <c r="B122" s="253" t="s">
        <v>2336</v>
      </c>
    </row>
    <row r="123" spans="1:2" x14ac:dyDescent="0.25">
      <c r="A123" s="252" t="s">
        <v>2337</v>
      </c>
      <c r="B123" s="253" t="s">
        <v>2338</v>
      </c>
    </row>
    <row r="124" spans="1:2" x14ac:dyDescent="0.25">
      <c r="A124" s="252" t="s">
        <v>2339</v>
      </c>
      <c r="B124" s="253" t="s">
        <v>2340</v>
      </c>
    </row>
    <row r="125" spans="1:2" x14ac:dyDescent="0.25">
      <c r="A125" s="252" t="s">
        <v>2341</v>
      </c>
      <c r="B125" s="253" t="s">
        <v>2342</v>
      </c>
    </row>
    <row r="126" spans="1:2" x14ac:dyDescent="0.25">
      <c r="A126" s="252" t="s">
        <v>2343</v>
      </c>
      <c r="B126" s="253" t="s">
        <v>2344</v>
      </c>
    </row>
    <row r="127" spans="1:2" x14ac:dyDescent="0.25">
      <c r="A127" s="252" t="s">
        <v>2345</v>
      </c>
      <c r="B127" s="253" t="s">
        <v>2346</v>
      </c>
    </row>
    <row r="128" spans="1:2" x14ac:dyDescent="0.25">
      <c r="A128" s="252" t="s">
        <v>2347</v>
      </c>
      <c r="B128" s="253" t="s">
        <v>2348</v>
      </c>
    </row>
    <row r="129" spans="1:2" x14ac:dyDescent="0.25">
      <c r="A129" s="252" t="s">
        <v>2349</v>
      </c>
      <c r="B129" s="253" t="s">
        <v>2350</v>
      </c>
    </row>
    <row r="130" spans="1:2" x14ac:dyDescent="0.25">
      <c r="A130" s="252" t="s">
        <v>2351</v>
      </c>
      <c r="B130" s="253" t="s">
        <v>2352</v>
      </c>
    </row>
    <row r="131" spans="1:2" x14ac:dyDescent="0.25">
      <c r="A131" s="252" t="s">
        <v>2353</v>
      </c>
      <c r="B131" s="253" t="s">
        <v>2354</v>
      </c>
    </row>
    <row r="132" spans="1:2" x14ac:dyDescent="0.25">
      <c r="A132" s="252" t="s">
        <v>2355</v>
      </c>
      <c r="B132" s="253" t="s">
        <v>2356</v>
      </c>
    </row>
    <row r="133" spans="1:2" x14ac:dyDescent="0.25">
      <c r="A133" s="252" t="s">
        <v>2357</v>
      </c>
      <c r="B133" s="253" t="s">
        <v>2358</v>
      </c>
    </row>
    <row r="134" spans="1:2" x14ac:dyDescent="0.25">
      <c r="A134" s="252" t="s">
        <v>2359</v>
      </c>
      <c r="B134" s="253" t="s">
        <v>2360</v>
      </c>
    </row>
    <row r="135" spans="1:2" x14ac:dyDescent="0.25">
      <c r="A135" s="252" t="s">
        <v>2361</v>
      </c>
      <c r="B135" s="253" t="s">
        <v>2362</v>
      </c>
    </row>
    <row r="136" spans="1:2" x14ac:dyDescent="0.25">
      <c r="A136" s="252" t="s">
        <v>2363</v>
      </c>
      <c r="B136" s="253" t="s">
        <v>2364</v>
      </c>
    </row>
    <row r="137" spans="1:2" x14ac:dyDescent="0.25">
      <c r="A137" s="252" t="s">
        <v>2365</v>
      </c>
      <c r="B137" s="255" t="s">
        <v>2366</v>
      </c>
    </row>
    <row r="138" spans="1:2" x14ac:dyDescent="0.25">
      <c r="A138" s="252" t="s">
        <v>2367</v>
      </c>
      <c r="B138" s="255" t="s">
        <v>2368</v>
      </c>
    </row>
    <row r="139" spans="1:2" x14ac:dyDescent="0.25">
      <c r="A139" s="4" t="s">
        <v>2369</v>
      </c>
      <c r="B139" s="253" t="s">
        <v>2370</v>
      </c>
    </row>
    <row r="140" spans="1:2" x14ac:dyDescent="0.25">
      <c r="A140" s="4" t="s">
        <v>2371</v>
      </c>
      <c r="B140" s="253" t="s">
        <v>2372</v>
      </c>
    </row>
    <row r="141" spans="1:2" x14ac:dyDescent="0.25">
      <c r="A141" s="4" t="s">
        <v>2373</v>
      </c>
      <c r="B141" s="253" t="s">
        <v>2374</v>
      </c>
    </row>
    <row r="142" spans="1:2" x14ac:dyDescent="0.25">
      <c r="A142" s="4" t="s">
        <v>2375</v>
      </c>
      <c r="B142" s="253" t="s">
        <v>2376</v>
      </c>
    </row>
    <row r="143" spans="1:2" x14ac:dyDescent="0.25">
      <c r="A143" s="4" t="s">
        <v>2377</v>
      </c>
      <c r="B143" s="253" t="s">
        <v>2378</v>
      </c>
    </row>
    <row r="144" spans="1:2" x14ac:dyDescent="0.25">
      <c r="A144" s="4" t="s">
        <v>2379</v>
      </c>
      <c r="B144" s="255" t="s">
        <v>2380</v>
      </c>
    </row>
    <row r="145" spans="1:2" x14ac:dyDescent="0.25">
      <c r="A145" s="4" t="s">
        <v>2381</v>
      </c>
      <c r="B145" s="255" t="s">
        <v>2382</v>
      </c>
    </row>
    <row r="146" spans="1:2" x14ac:dyDescent="0.25">
      <c r="A146" s="4" t="s">
        <v>2383</v>
      </c>
      <c r="B146" s="182" t="s">
        <v>2384</v>
      </c>
    </row>
    <row r="147" spans="1:2" x14ac:dyDescent="0.25">
      <c r="A147" s="252" t="s">
        <v>149</v>
      </c>
      <c r="B147" s="253" t="s">
        <v>2385</v>
      </c>
    </row>
    <row r="148" spans="1:2" x14ac:dyDescent="0.25">
      <c r="A148" s="252" t="s">
        <v>152</v>
      </c>
      <c r="B148" s="253" t="s">
        <v>2386</v>
      </c>
    </row>
    <row r="149" spans="1:2" x14ac:dyDescent="0.25">
      <c r="A149" s="252" t="s">
        <v>1362</v>
      </c>
      <c r="B149" s="253" t="s">
        <v>2387</v>
      </c>
    </row>
    <row r="150" spans="1:2" x14ac:dyDescent="0.25">
      <c r="A150" s="252" t="s">
        <v>2388</v>
      </c>
      <c r="B150" s="253" t="s">
        <v>2389</v>
      </c>
    </row>
    <row r="151" spans="1:2" x14ac:dyDescent="0.25">
      <c r="A151" s="252" t="s">
        <v>2390</v>
      </c>
      <c r="B151" s="253" t="s">
        <v>2391</v>
      </c>
    </row>
    <row r="152" spans="1:2" x14ac:dyDescent="0.25">
      <c r="A152" s="252" t="s">
        <v>2392</v>
      </c>
      <c r="B152" s="253" t="s">
        <v>2393</v>
      </c>
    </row>
    <row r="153" spans="1:2" x14ac:dyDescent="0.25">
      <c r="A153" s="252" t="s">
        <v>2394</v>
      </c>
      <c r="B153" s="253" t="s">
        <v>2395</v>
      </c>
    </row>
    <row r="154" spans="1:2" x14ac:dyDescent="0.25">
      <c r="A154" s="252" t="s">
        <v>2396</v>
      </c>
      <c r="B154" s="253" t="s">
        <v>2397</v>
      </c>
    </row>
    <row r="155" spans="1:2" x14ac:dyDescent="0.25">
      <c r="A155" s="252" t="s">
        <v>2398</v>
      </c>
      <c r="B155" s="253" t="s">
        <v>2248</v>
      </c>
    </row>
    <row r="156" spans="1:2" x14ac:dyDescent="0.25">
      <c r="A156" s="252" t="s">
        <v>2399</v>
      </c>
      <c r="B156" s="253" t="s">
        <v>2400</v>
      </c>
    </row>
    <row r="157" spans="1:2" x14ac:dyDescent="0.25">
      <c r="A157" s="252" t="s">
        <v>2401</v>
      </c>
      <c r="B157" s="253" t="s">
        <v>2402</v>
      </c>
    </row>
    <row r="158" spans="1:2" x14ac:dyDescent="0.25">
      <c r="A158" s="252" t="s">
        <v>2403</v>
      </c>
      <c r="B158" s="253" t="s">
        <v>2404</v>
      </c>
    </row>
    <row r="159" spans="1:2" x14ac:dyDescent="0.25">
      <c r="A159" s="252" t="s">
        <v>2405</v>
      </c>
      <c r="B159" s="253" t="s">
        <v>2406</v>
      </c>
    </row>
    <row r="160" spans="1:2" x14ac:dyDescent="0.25">
      <c r="A160" s="252" t="s">
        <v>834</v>
      </c>
      <c r="B160" s="253" t="s">
        <v>2407</v>
      </c>
    </row>
    <row r="161" spans="1:2" x14ac:dyDescent="0.25">
      <c r="A161" s="252" t="s">
        <v>2408</v>
      </c>
      <c r="B161" s="253" t="s">
        <v>2409</v>
      </c>
    </row>
    <row r="162" spans="1:2" x14ac:dyDescent="0.25">
      <c r="A162" s="252" t="s">
        <v>2410</v>
      </c>
      <c r="B162" s="253" t="s">
        <v>2411</v>
      </c>
    </row>
    <row r="163" spans="1:2" x14ac:dyDescent="0.25">
      <c r="A163" s="252" t="s">
        <v>2412</v>
      </c>
      <c r="B163" s="253" t="s">
        <v>2413</v>
      </c>
    </row>
    <row r="164" spans="1:2" x14ac:dyDescent="0.25">
      <c r="A164" s="252" t="s">
        <v>2414</v>
      </c>
      <c r="B164" s="253" t="s">
        <v>2415</v>
      </c>
    </row>
    <row r="165" spans="1:2" x14ac:dyDescent="0.25">
      <c r="A165" s="252" t="s">
        <v>2416</v>
      </c>
      <c r="B165" s="253" t="s">
        <v>2417</v>
      </c>
    </row>
    <row r="166" spans="1:2" x14ac:dyDescent="0.25">
      <c r="A166" s="252" t="s">
        <v>2418</v>
      </c>
      <c r="B166" s="253" t="s">
        <v>2419</v>
      </c>
    </row>
    <row r="167" spans="1:2" x14ac:dyDescent="0.25">
      <c r="A167" s="252" t="s">
        <v>2420</v>
      </c>
      <c r="B167" s="253" t="s">
        <v>2421</v>
      </c>
    </row>
    <row r="168" spans="1:2" x14ac:dyDescent="0.25">
      <c r="A168" s="252" t="s">
        <v>2422</v>
      </c>
      <c r="B168" s="253" t="s">
        <v>2423</v>
      </c>
    </row>
    <row r="169" spans="1:2" x14ac:dyDescent="0.25">
      <c r="A169" s="252" t="s">
        <v>2424</v>
      </c>
      <c r="B169" s="253" t="s">
        <v>2425</v>
      </c>
    </row>
    <row r="170" spans="1:2" x14ac:dyDescent="0.25">
      <c r="A170" s="252" t="s">
        <v>2426</v>
      </c>
      <c r="B170" s="253" t="s">
        <v>2427</v>
      </c>
    </row>
    <row r="171" spans="1:2" x14ac:dyDescent="0.25">
      <c r="A171" s="252" t="s">
        <v>2428</v>
      </c>
      <c r="B171" s="253" t="s">
        <v>2429</v>
      </c>
    </row>
    <row r="172" spans="1:2" x14ac:dyDescent="0.25">
      <c r="A172" s="252" t="s">
        <v>2430</v>
      </c>
      <c r="B172" s="253" t="s">
        <v>2431</v>
      </c>
    </row>
    <row r="173" spans="1:2" x14ac:dyDescent="0.25">
      <c r="A173" s="252" t="s">
        <v>2432</v>
      </c>
      <c r="B173" s="253" t="s">
        <v>2433</v>
      </c>
    </row>
    <row r="174" spans="1:2" x14ac:dyDescent="0.25">
      <c r="A174" s="252" t="s">
        <v>2434</v>
      </c>
      <c r="B174" s="253" t="s">
        <v>2435</v>
      </c>
    </row>
    <row r="175" spans="1:2" x14ac:dyDescent="0.25">
      <c r="A175" s="252" t="s">
        <v>2436</v>
      </c>
      <c r="B175" s="253" t="s">
        <v>2437</v>
      </c>
    </row>
    <row r="176" spans="1:2" x14ac:dyDescent="0.25">
      <c r="A176" s="252" t="s">
        <v>2438</v>
      </c>
      <c r="B176" s="253" t="s">
        <v>2439</v>
      </c>
    </row>
    <row r="177" spans="1:2" x14ac:dyDescent="0.25">
      <c r="A177" s="252" t="s">
        <v>2440</v>
      </c>
      <c r="B177" s="253" t="s">
        <v>2441</v>
      </c>
    </row>
    <row r="178" spans="1:2" x14ac:dyDescent="0.25">
      <c r="A178" s="252" t="s">
        <v>2442</v>
      </c>
      <c r="B178" s="253" t="s">
        <v>2443</v>
      </c>
    </row>
    <row r="179" spans="1:2" x14ac:dyDescent="0.25">
      <c r="A179" s="252" t="s">
        <v>2444</v>
      </c>
      <c r="B179" s="253" t="s">
        <v>2445</v>
      </c>
    </row>
    <row r="180" spans="1:2" x14ac:dyDescent="0.25">
      <c r="A180" s="252" t="s">
        <v>2446</v>
      </c>
      <c r="B180" s="253" t="s">
        <v>2447</v>
      </c>
    </row>
    <row r="181" spans="1:2" x14ac:dyDescent="0.25">
      <c r="A181" s="252" t="s">
        <v>2448</v>
      </c>
      <c r="B181" s="253" t="s">
        <v>2449</v>
      </c>
    </row>
    <row r="182" spans="1:2" x14ac:dyDescent="0.25">
      <c r="A182" s="252" t="s">
        <v>2450</v>
      </c>
      <c r="B182" s="253" t="s">
        <v>2451</v>
      </c>
    </row>
    <row r="183" spans="1:2" x14ac:dyDescent="0.25">
      <c r="A183" s="252" t="s">
        <v>2452</v>
      </c>
      <c r="B183" s="253" t="s">
        <v>2453</v>
      </c>
    </row>
    <row r="184" spans="1:2" x14ac:dyDescent="0.25">
      <c r="A184" s="252" t="s">
        <v>2454</v>
      </c>
      <c r="B184" s="253" t="s">
        <v>2455</v>
      </c>
    </row>
    <row r="185" spans="1:2" x14ac:dyDescent="0.25">
      <c r="A185" s="252" t="s">
        <v>2456</v>
      </c>
      <c r="B185" s="253" t="s">
        <v>2457</v>
      </c>
    </row>
    <row r="186" spans="1:2" x14ac:dyDescent="0.25">
      <c r="A186" s="252" t="s">
        <v>2458</v>
      </c>
      <c r="B186" s="253" t="s">
        <v>2429</v>
      </c>
    </row>
    <row r="187" spans="1:2" x14ac:dyDescent="0.25">
      <c r="A187" s="252" t="s">
        <v>2459</v>
      </c>
      <c r="B187" s="253" t="s">
        <v>2460</v>
      </c>
    </row>
    <row r="188" spans="1:2" x14ac:dyDescent="0.25">
      <c r="A188" s="252" t="s">
        <v>2461</v>
      </c>
      <c r="B188" s="253" t="s">
        <v>2433</v>
      </c>
    </row>
    <row r="189" spans="1:2" x14ac:dyDescent="0.25">
      <c r="A189" s="252" t="s">
        <v>2462</v>
      </c>
      <c r="B189" s="253" t="s">
        <v>2463</v>
      </c>
    </row>
    <row r="190" spans="1:2" x14ac:dyDescent="0.25">
      <c r="A190" s="252" t="s">
        <v>2464</v>
      </c>
      <c r="B190" s="253" t="s">
        <v>2465</v>
      </c>
    </row>
    <row r="191" spans="1:2" x14ac:dyDescent="0.25">
      <c r="A191" s="252" t="s">
        <v>2466</v>
      </c>
      <c r="B191" s="253" t="s">
        <v>2467</v>
      </c>
    </row>
    <row r="192" spans="1:2" x14ac:dyDescent="0.25">
      <c r="A192" s="252" t="s">
        <v>2468</v>
      </c>
      <c r="B192" s="253" t="s">
        <v>2469</v>
      </c>
    </row>
    <row r="193" spans="1:2" x14ac:dyDescent="0.25">
      <c r="A193" s="252" t="s">
        <v>2470</v>
      </c>
      <c r="B193" s="253" t="s">
        <v>2471</v>
      </c>
    </row>
    <row r="194" spans="1:2" x14ac:dyDescent="0.25">
      <c r="A194" s="252" t="s">
        <v>2472</v>
      </c>
      <c r="B194" s="253" t="s">
        <v>2473</v>
      </c>
    </row>
    <row r="195" spans="1:2" x14ac:dyDescent="0.25">
      <c r="A195" s="252" t="s">
        <v>2474</v>
      </c>
      <c r="B195" s="253" t="s">
        <v>2475</v>
      </c>
    </row>
    <row r="196" spans="1:2" x14ac:dyDescent="0.25">
      <c r="A196" s="252" t="s">
        <v>2476</v>
      </c>
      <c r="B196" s="253" t="s">
        <v>2477</v>
      </c>
    </row>
    <row r="197" spans="1:2" x14ac:dyDescent="0.25">
      <c r="A197" s="252" t="s">
        <v>2478</v>
      </c>
      <c r="B197" s="253" t="s">
        <v>2479</v>
      </c>
    </row>
    <row r="198" spans="1:2" x14ac:dyDescent="0.25">
      <c r="A198" s="252" t="s">
        <v>2480</v>
      </c>
      <c r="B198" s="253" t="s">
        <v>2481</v>
      </c>
    </row>
    <row r="199" spans="1:2" x14ac:dyDescent="0.25">
      <c r="A199" s="252" t="s">
        <v>2482</v>
      </c>
      <c r="B199" s="253" t="s">
        <v>2447</v>
      </c>
    </row>
    <row r="200" spans="1:2" x14ac:dyDescent="0.25">
      <c r="A200" s="252" t="s">
        <v>2483</v>
      </c>
      <c r="B200" s="253" t="s">
        <v>2484</v>
      </c>
    </row>
    <row r="201" spans="1:2" x14ac:dyDescent="0.25">
      <c r="A201" s="254" t="s">
        <v>2485</v>
      </c>
      <c r="B201" s="253" t="s">
        <v>2486</v>
      </c>
    </row>
    <row r="202" spans="1:2" x14ac:dyDescent="0.25">
      <c r="A202" s="252" t="s">
        <v>2487</v>
      </c>
      <c r="B202" s="253" t="s">
        <v>2488</v>
      </c>
    </row>
    <row r="203" spans="1:2" x14ac:dyDescent="0.25">
      <c r="A203" s="252" t="s">
        <v>2489</v>
      </c>
      <c r="B203" s="253" t="s">
        <v>2490</v>
      </c>
    </row>
    <row r="204" spans="1:2" x14ac:dyDescent="0.25">
      <c r="A204" s="252" t="s">
        <v>2491</v>
      </c>
      <c r="B204" s="253" t="s">
        <v>2492</v>
      </c>
    </row>
    <row r="205" spans="1:2" x14ac:dyDescent="0.25">
      <c r="A205" s="252" t="s">
        <v>2493</v>
      </c>
      <c r="B205" s="253" t="s">
        <v>2494</v>
      </c>
    </row>
    <row r="206" spans="1:2" x14ac:dyDescent="0.25">
      <c r="A206" s="252" t="s">
        <v>2495</v>
      </c>
      <c r="B206" s="253" t="s">
        <v>2496</v>
      </c>
    </row>
    <row r="207" spans="1:2" x14ac:dyDescent="0.25">
      <c r="A207" s="252" t="s">
        <v>2497</v>
      </c>
      <c r="B207" s="253" t="s">
        <v>2498</v>
      </c>
    </row>
    <row r="208" spans="1:2" x14ac:dyDescent="0.25">
      <c r="A208" s="252" t="s">
        <v>2499</v>
      </c>
      <c r="B208" s="253" t="s">
        <v>2500</v>
      </c>
    </row>
    <row r="209" spans="1:2" x14ac:dyDescent="0.25">
      <c r="A209" s="252" t="s">
        <v>2501</v>
      </c>
      <c r="B209" s="253" t="s">
        <v>2502</v>
      </c>
    </row>
    <row r="210" spans="1:2" x14ac:dyDescent="0.25">
      <c r="A210" s="252" t="s">
        <v>2503</v>
      </c>
      <c r="B210" s="253" t="s">
        <v>2504</v>
      </c>
    </row>
    <row r="211" spans="1:2" x14ac:dyDescent="0.25">
      <c r="A211" s="252" t="s">
        <v>2505</v>
      </c>
      <c r="B211" s="253" t="s">
        <v>2506</v>
      </c>
    </row>
    <row r="212" spans="1:2" x14ac:dyDescent="0.25">
      <c r="A212" s="252" t="s">
        <v>2507</v>
      </c>
      <c r="B212" s="253" t="s">
        <v>2508</v>
      </c>
    </row>
    <row r="213" spans="1:2" x14ac:dyDescent="0.25">
      <c r="A213" s="252" t="s">
        <v>2509</v>
      </c>
      <c r="B213" s="253" t="s">
        <v>2510</v>
      </c>
    </row>
    <row r="214" spans="1:2" x14ac:dyDescent="0.25">
      <c r="A214" s="252" t="s">
        <v>2511</v>
      </c>
      <c r="B214" s="253" t="s">
        <v>2512</v>
      </c>
    </row>
    <row r="215" spans="1:2" x14ac:dyDescent="0.25">
      <c r="A215" s="252" t="s">
        <v>2513</v>
      </c>
      <c r="B215" s="253" t="s">
        <v>2514</v>
      </c>
    </row>
    <row r="216" spans="1:2" x14ac:dyDescent="0.25">
      <c r="A216" s="252" t="s">
        <v>2515</v>
      </c>
      <c r="B216" s="253" t="s">
        <v>2516</v>
      </c>
    </row>
    <row r="217" spans="1:2" x14ac:dyDescent="0.25">
      <c r="A217" s="252" t="s">
        <v>2517</v>
      </c>
      <c r="B217" s="253" t="s">
        <v>2518</v>
      </c>
    </row>
    <row r="218" spans="1:2" x14ac:dyDescent="0.25">
      <c r="A218" s="252" t="s">
        <v>2519</v>
      </c>
      <c r="B218" s="253" t="s">
        <v>2520</v>
      </c>
    </row>
    <row r="219" spans="1:2" x14ac:dyDescent="0.25">
      <c r="A219" s="252" t="s">
        <v>2521</v>
      </c>
      <c r="B219" s="253" t="s">
        <v>2522</v>
      </c>
    </row>
    <row r="220" spans="1:2" x14ac:dyDescent="0.25">
      <c r="A220" s="252" t="s">
        <v>2523</v>
      </c>
      <c r="B220" s="253" t="s">
        <v>2524</v>
      </c>
    </row>
    <row r="221" spans="1:2" x14ac:dyDescent="0.25">
      <c r="A221" s="252" t="s">
        <v>2525</v>
      </c>
      <c r="B221" s="253" t="s">
        <v>2526</v>
      </c>
    </row>
    <row r="222" spans="1:2" x14ac:dyDescent="0.25">
      <c r="A222" s="252" t="s">
        <v>2527</v>
      </c>
      <c r="B222" s="253" t="s">
        <v>2528</v>
      </c>
    </row>
    <row r="223" spans="1:2" x14ac:dyDescent="0.25">
      <c r="A223" s="252" t="s">
        <v>2529</v>
      </c>
      <c r="B223" s="253" t="s">
        <v>2530</v>
      </c>
    </row>
    <row r="224" spans="1:2" x14ac:dyDescent="0.25">
      <c r="A224" s="252" t="s">
        <v>2531</v>
      </c>
      <c r="B224" s="253" t="s">
        <v>2532</v>
      </c>
    </row>
    <row r="225" spans="1:2" x14ac:dyDescent="0.25">
      <c r="A225" s="252" t="s">
        <v>2533</v>
      </c>
      <c r="B225" s="253" t="s">
        <v>2534</v>
      </c>
    </row>
    <row r="226" spans="1:2" x14ac:dyDescent="0.25">
      <c r="A226" s="252" t="s">
        <v>2535</v>
      </c>
      <c r="B226" s="253" t="s">
        <v>2536</v>
      </c>
    </row>
    <row r="227" spans="1:2" x14ac:dyDescent="0.25">
      <c r="A227" s="252" t="s">
        <v>2537</v>
      </c>
      <c r="B227" s="253" t="s">
        <v>2538</v>
      </c>
    </row>
    <row r="228" spans="1:2" x14ac:dyDescent="0.25">
      <c r="A228" s="252" t="s">
        <v>2539</v>
      </c>
      <c r="B228" s="253" t="s">
        <v>2540</v>
      </c>
    </row>
    <row r="229" spans="1:2" x14ac:dyDescent="0.25">
      <c r="A229" s="252" t="s">
        <v>2541</v>
      </c>
      <c r="B229" s="253" t="s">
        <v>2542</v>
      </c>
    </row>
    <row r="230" spans="1:2" x14ac:dyDescent="0.25">
      <c r="A230" s="252" t="s">
        <v>2543</v>
      </c>
      <c r="B230" s="253" t="s">
        <v>2544</v>
      </c>
    </row>
    <row r="231" spans="1:2" x14ac:dyDescent="0.25">
      <c r="A231" s="252" t="s">
        <v>2545</v>
      </c>
      <c r="B231" s="253" t="s">
        <v>2546</v>
      </c>
    </row>
    <row r="232" spans="1:2" x14ac:dyDescent="0.25">
      <c r="A232" s="252" t="s">
        <v>2547</v>
      </c>
      <c r="B232" s="253" t="s">
        <v>2548</v>
      </c>
    </row>
    <row r="233" spans="1:2" x14ac:dyDescent="0.25">
      <c r="A233" s="252" t="s">
        <v>2549</v>
      </c>
      <c r="B233" s="253" t="s">
        <v>2550</v>
      </c>
    </row>
    <row r="234" spans="1:2" x14ac:dyDescent="0.25">
      <c r="A234" s="252" t="s">
        <v>2551</v>
      </c>
      <c r="B234" s="253" t="s">
        <v>2552</v>
      </c>
    </row>
    <row r="235" spans="1:2" x14ac:dyDescent="0.25">
      <c r="A235" s="252" t="s">
        <v>2553</v>
      </c>
      <c r="B235" s="253" t="s">
        <v>2554</v>
      </c>
    </row>
    <row r="236" spans="1:2" x14ac:dyDescent="0.25">
      <c r="A236" s="252" t="s">
        <v>2555</v>
      </c>
      <c r="B236" s="253" t="s">
        <v>2556</v>
      </c>
    </row>
    <row r="237" spans="1:2" x14ac:dyDescent="0.25">
      <c r="A237" s="252" t="s">
        <v>2557</v>
      </c>
      <c r="B237" s="253" t="s">
        <v>2558</v>
      </c>
    </row>
    <row r="238" spans="1:2" x14ac:dyDescent="0.25">
      <c r="A238" s="252" t="s">
        <v>2559</v>
      </c>
      <c r="B238" s="253" t="s">
        <v>2560</v>
      </c>
    </row>
    <row r="239" spans="1:2" x14ac:dyDescent="0.25">
      <c r="A239" s="252" t="s">
        <v>2561</v>
      </c>
      <c r="B239" s="253" t="s">
        <v>2562</v>
      </c>
    </row>
    <row r="240" spans="1:2" x14ac:dyDescent="0.25">
      <c r="A240" s="252" t="s">
        <v>2563</v>
      </c>
      <c r="B240" s="253" t="s">
        <v>2564</v>
      </c>
    </row>
    <row r="241" spans="1:2" x14ac:dyDescent="0.25">
      <c r="A241" s="252" t="s">
        <v>2565</v>
      </c>
      <c r="B241" s="253" t="s">
        <v>2566</v>
      </c>
    </row>
    <row r="242" spans="1:2" x14ac:dyDescent="0.25">
      <c r="A242" s="252" t="s">
        <v>2567</v>
      </c>
      <c r="B242" s="253" t="s">
        <v>2568</v>
      </c>
    </row>
    <row r="243" spans="1:2" x14ac:dyDescent="0.25">
      <c r="A243" s="252" t="s">
        <v>2569</v>
      </c>
      <c r="B243" s="253" t="s">
        <v>2570</v>
      </c>
    </row>
    <row r="244" spans="1:2" x14ac:dyDescent="0.25">
      <c r="A244" s="252" t="s">
        <v>2571</v>
      </c>
      <c r="B244" s="253" t="s">
        <v>2572</v>
      </c>
    </row>
    <row r="245" spans="1:2" x14ac:dyDescent="0.25">
      <c r="A245" s="252" t="s">
        <v>93</v>
      </c>
      <c r="B245" s="253" t="s">
        <v>2573</v>
      </c>
    </row>
    <row r="246" spans="1:2" x14ac:dyDescent="0.25">
      <c r="A246" s="252" t="s">
        <v>2574</v>
      </c>
      <c r="B246" s="253" t="s">
        <v>2287</v>
      </c>
    </row>
    <row r="247" spans="1:2" x14ac:dyDescent="0.25">
      <c r="A247" s="252" t="s">
        <v>69</v>
      </c>
      <c r="B247" s="253" t="s">
        <v>2506</v>
      </c>
    </row>
    <row r="248" spans="1:2" x14ac:dyDescent="0.25">
      <c r="A248" s="252" t="s">
        <v>66</v>
      </c>
      <c r="B248" s="253" t="s">
        <v>2508</v>
      </c>
    </row>
    <row r="249" spans="1:2" x14ac:dyDescent="0.25">
      <c r="A249" s="252" t="s">
        <v>73</v>
      </c>
      <c r="B249" s="253" t="s">
        <v>2575</v>
      </c>
    </row>
    <row r="250" spans="1:2" x14ac:dyDescent="0.25">
      <c r="A250" s="252" t="s">
        <v>71</v>
      </c>
      <c r="B250" s="253" t="s">
        <v>2576</v>
      </c>
    </row>
    <row r="251" spans="1:2" x14ac:dyDescent="0.25">
      <c r="A251" s="252" t="s">
        <v>2577</v>
      </c>
      <c r="B251" s="253" t="s">
        <v>2578</v>
      </c>
    </row>
    <row r="252" spans="1:2" x14ac:dyDescent="0.25">
      <c r="A252" s="252" t="s">
        <v>2579</v>
      </c>
      <c r="B252" s="253" t="s">
        <v>2498</v>
      </c>
    </row>
    <row r="253" spans="1:2" x14ac:dyDescent="0.25">
      <c r="A253" s="252" t="s">
        <v>2580</v>
      </c>
      <c r="B253" s="253" t="s">
        <v>2581</v>
      </c>
    </row>
    <row r="254" spans="1:2" x14ac:dyDescent="0.25">
      <c r="A254" s="252" t="s">
        <v>2582</v>
      </c>
      <c r="B254" s="253" t="s">
        <v>2583</v>
      </c>
    </row>
    <row r="255" spans="1:2" x14ac:dyDescent="0.25">
      <c r="A255" s="252" t="s">
        <v>2584</v>
      </c>
      <c r="B255" s="253" t="s">
        <v>2585</v>
      </c>
    </row>
    <row r="256" spans="1:2" x14ac:dyDescent="0.25">
      <c r="A256" s="252" t="s">
        <v>2586</v>
      </c>
      <c r="B256" s="253" t="s">
        <v>2587</v>
      </c>
    </row>
    <row r="257" spans="1:2" x14ac:dyDescent="0.25">
      <c r="A257" s="252" t="s">
        <v>2588</v>
      </c>
      <c r="B257" s="253" t="s">
        <v>2589</v>
      </c>
    </row>
    <row r="258" spans="1:2" x14ac:dyDescent="0.25">
      <c r="A258" s="252" t="s">
        <v>2590</v>
      </c>
      <c r="B258" s="253" t="s">
        <v>2591</v>
      </c>
    </row>
    <row r="259" spans="1:2" x14ac:dyDescent="0.25">
      <c r="A259" s="252" t="s">
        <v>2592</v>
      </c>
      <c r="B259" s="253" t="s">
        <v>2593</v>
      </c>
    </row>
    <row r="260" spans="1:2" x14ac:dyDescent="0.25">
      <c r="A260" s="252" t="s">
        <v>2594</v>
      </c>
      <c r="B260" s="253" t="s">
        <v>2406</v>
      </c>
    </row>
    <row r="261" spans="1:2" x14ac:dyDescent="0.25">
      <c r="A261" s="252" t="s">
        <v>2595</v>
      </c>
      <c r="B261" s="253" t="s">
        <v>2596</v>
      </c>
    </row>
    <row r="262" spans="1:2" x14ac:dyDescent="0.25">
      <c r="A262" s="252" t="s">
        <v>2597</v>
      </c>
      <c r="B262" s="253" t="s">
        <v>2598</v>
      </c>
    </row>
    <row r="263" spans="1:2" x14ac:dyDescent="0.25">
      <c r="A263" s="252" t="s">
        <v>2599</v>
      </c>
      <c r="B263" s="253" t="s">
        <v>2600</v>
      </c>
    </row>
    <row r="264" spans="1:2" x14ac:dyDescent="0.25">
      <c r="A264" s="252" t="s">
        <v>2601</v>
      </c>
      <c r="B264" s="253" t="s">
        <v>2602</v>
      </c>
    </row>
    <row r="265" spans="1:2" x14ac:dyDescent="0.25">
      <c r="A265" s="252" t="s">
        <v>2603</v>
      </c>
      <c r="B265" s="253" t="s">
        <v>2604</v>
      </c>
    </row>
    <row r="266" spans="1:2" x14ac:dyDescent="0.25">
      <c r="A266" s="252" t="s">
        <v>2605</v>
      </c>
      <c r="B266" s="253" t="s">
        <v>2606</v>
      </c>
    </row>
    <row r="267" spans="1:2" x14ac:dyDescent="0.25">
      <c r="A267" s="252" t="s">
        <v>2607</v>
      </c>
      <c r="B267" s="253" t="s">
        <v>2608</v>
      </c>
    </row>
    <row r="268" spans="1:2" x14ac:dyDescent="0.25">
      <c r="A268" s="252" t="s">
        <v>2609</v>
      </c>
      <c r="B268" s="253" t="s">
        <v>2610</v>
      </c>
    </row>
    <row r="269" spans="1:2" x14ac:dyDescent="0.25">
      <c r="A269" s="252" t="s">
        <v>2611</v>
      </c>
      <c r="B269" s="253" t="s">
        <v>2612</v>
      </c>
    </row>
    <row r="270" spans="1:2" x14ac:dyDescent="0.25">
      <c r="A270" s="252" t="s">
        <v>2613</v>
      </c>
      <c r="B270" s="253" t="s">
        <v>2406</v>
      </c>
    </row>
    <row r="271" spans="1:2" x14ac:dyDescent="0.25">
      <c r="A271" s="252" t="s">
        <v>2614</v>
      </c>
      <c r="B271" s="253" t="s">
        <v>2404</v>
      </c>
    </row>
    <row r="272" spans="1:2" x14ac:dyDescent="0.25">
      <c r="A272" s="252" t="s">
        <v>2615</v>
      </c>
      <c r="B272" s="253" t="s">
        <v>2616</v>
      </c>
    </row>
    <row r="273" spans="1:2" x14ac:dyDescent="0.25">
      <c r="A273" s="252" t="s">
        <v>2617</v>
      </c>
      <c r="B273" s="253" t="s">
        <v>2618</v>
      </c>
    </row>
    <row r="274" spans="1:2" x14ac:dyDescent="0.25">
      <c r="A274" s="252" t="s">
        <v>2619</v>
      </c>
      <c r="B274" s="253" t="s">
        <v>2407</v>
      </c>
    </row>
    <row r="275" spans="1:2" x14ac:dyDescent="0.25">
      <c r="A275" s="252" t="s">
        <v>2620</v>
      </c>
      <c r="B275" s="253" t="s">
        <v>2621</v>
      </c>
    </row>
    <row r="276" spans="1:2" x14ac:dyDescent="0.25">
      <c r="A276" s="252" t="s">
        <v>2622</v>
      </c>
      <c r="B276" s="253" t="s">
        <v>2623</v>
      </c>
    </row>
    <row r="277" spans="1:2" x14ac:dyDescent="0.25">
      <c r="A277" s="252" t="s">
        <v>2624</v>
      </c>
      <c r="B277" s="253" t="s">
        <v>2625</v>
      </c>
    </row>
    <row r="278" spans="1:2" x14ac:dyDescent="0.25">
      <c r="A278" s="252" t="s">
        <v>2626</v>
      </c>
      <c r="B278" s="253" t="s">
        <v>2627</v>
      </c>
    </row>
    <row r="279" spans="1:2" x14ac:dyDescent="0.25">
      <c r="A279" s="252" t="s">
        <v>2628</v>
      </c>
      <c r="B279" s="253" t="s">
        <v>2433</v>
      </c>
    </row>
    <row r="280" spans="1:2" x14ac:dyDescent="0.25">
      <c r="A280" s="252" t="s">
        <v>2629</v>
      </c>
      <c r="B280" s="253" t="s">
        <v>2437</v>
      </c>
    </row>
    <row r="281" spans="1:2" x14ac:dyDescent="0.25">
      <c r="A281" s="252" t="s">
        <v>2630</v>
      </c>
      <c r="B281" s="253" t="s">
        <v>2631</v>
      </c>
    </row>
    <row r="282" spans="1:2" x14ac:dyDescent="0.25">
      <c r="A282" s="252" t="s">
        <v>2632</v>
      </c>
      <c r="B282" s="253" t="s">
        <v>2441</v>
      </c>
    </row>
    <row r="283" spans="1:2" x14ac:dyDescent="0.25">
      <c r="A283" s="252" t="s">
        <v>2633</v>
      </c>
      <c r="B283" s="253" t="s">
        <v>2634</v>
      </c>
    </row>
    <row r="284" spans="1:2" x14ac:dyDescent="0.25">
      <c r="A284" s="252" t="s">
        <v>2635</v>
      </c>
      <c r="B284" s="253" t="s">
        <v>2443</v>
      </c>
    </row>
    <row r="285" spans="1:2" x14ac:dyDescent="0.25">
      <c r="A285" s="252" t="s">
        <v>2636</v>
      </c>
      <c r="B285" s="253" t="s">
        <v>2637</v>
      </c>
    </row>
    <row r="286" spans="1:2" x14ac:dyDescent="0.25">
      <c r="A286" s="252" t="s">
        <v>2638</v>
      </c>
      <c r="B286" s="253" t="s">
        <v>2447</v>
      </c>
    </row>
    <row r="287" spans="1:2" x14ac:dyDescent="0.25">
      <c r="A287" s="252" t="s">
        <v>2639</v>
      </c>
      <c r="B287" s="253" t="s">
        <v>2451</v>
      </c>
    </row>
    <row r="288" spans="1:2" x14ac:dyDescent="0.25">
      <c r="A288" s="252" t="s">
        <v>2640</v>
      </c>
      <c r="B288" s="253" t="s">
        <v>2453</v>
      </c>
    </row>
    <row r="289" spans="1:2" x14ac:dyDescent="0.25">
      <c r="A289" s="252" t="s">
        <v>2641</v>
      </c>
      <c r="B289" s="253" t="s">
        <v>2642</v>
      </c>
    </row>
    <row r="290" spans="1:2" x14ac:dyDescent="0.25">
      <c r="A290" s="252" t="s">
        <v>2643</v>
      </c>
      <c r="B290" s="253" t="s">
        <v>2644</v>
      </c>
    </row>
    <row r="291" spans="1:2" x14ac:dyDescent="0.25">
      <c r="A291" s="252" t="s">
        <v>2645</v>
      </c>
      <c r="B291" s="253" t="s">
        <v>2646</v>
      </c>
    </row>
    <row r="292" spans="1:2" x14ac:dyDescent="0.25">
      <c r="A292" s="252" t="s">
        <v>2647</v>
      </c>
      <c r="B292" s="253" t="s">
        <v>2648</v>
      </c>
    </row>
    <row r="293" spans="1:2" x14ac:dyDescent="0.25">
      <c r="A293" s="252" t="s">
        <v>2649</v>
      </c>
      <c r="B293" s="253" t="s">
        <v>2650</v>
      </c>
    </row>
    <row r="294" spans="1:2" x14ac:dyDescent="0.25">
      <c r="A294" s="252" t="s">
        <v>2651</v>
      </c>
      <c r="B294" s="253" t="s">
        <v>2433</v>
      </c>
    </row>
    <row r="295" spans="1:2" x14ac:dyDescent="0.25">
      <c r="A295" s="252" t="s">
        <v>2652</v>
      </c>
      <c r="B295" s="253" t="s">
        <v>2653</v>
      </c>
    </row>
    <row r="296" spans="1:2" x14ac:dyDescent="0.25">
      <c r="A296" s="252" t="s">
        <v>2654</v>
      </c>
      <c r="B296" s="253" t="s">
        <v>2655</v>
      </c>
    </row>
    <row r="297" spans="1:2" x14ac:dyDescent="0.25">
      <c r="A297" s="252" t="s">
        <v>2656</v>
      </c>
      <c r="B297" s="253" t="s">
        <v>2657</v>
      </c>
    </row>
    <row r="298" spans="1:2" x14ac:dyDescent="0.25">
      <c r="A298" s="252" t="s">
        <v>2658</v>
      </c>
      <c r="B298" s="253" t="s">
        <v>2575</v>
      </c>
    </row>
    <row r="299" spans="1:2" x14ac:dyDescent="0.25">
      <c r="A299" s="252" t="s">
        <v>2659</v>
      </c>
      <c r="B299" s="253" t="s">
        <v>2576</v>
      </c>
    </row>
    <row r="300" spans="1:2" x14ac:dyDescent="0.25">
      <c r="A300" s="252" t="s">
        <v>2660</v>
      </c>
      <c r="B300" s="253" t="s">
        <v>2506</v>
      </c>
    </row>
    <row r="301" spans="1:2" x14ac:dyDescent="0.25">
      <c r="A301" s="252" t="s">
        <v>2661</v>
      </c>
      <c r="B301" s="253" t="s">
        <v>2508</v>
      </c>
    </row>
    <row r="302" spans="1:2" x14ac:dyDescent="0.25">
      <c r="A302" s="252" t="s">
        <v>2662</v>
      </c>
      <c r="B302" s="253" t="s">
        <v>2663</v>
      </c>
    </row>
    <row r="303" spans="1:2" x14ac:dyDescent="0.25">
      <c r="A303" s="252" t="s">
        <v>2664</v>
      </c>
      <c r="B303" s="253" t="s">
        <v>2665</v>
      </c>
    </row>
    <row r="304" spans="1:2" x14ac:dyDescent="0.25">
      <c r="A304" s="252" t="s">
        <v>2666</v>
      </c>
      <c r="B304" s="253" t="s">
        <v>2596</v>
      </c>
    </row>
    <row r="305" spans="1:2" x14ac:dyDescent="0.25">
      <c r="A305" s="252" t="s">
        <v>2667</v>
      </c>
      <c r="B305" s="253" t="s">
        <v>2668</v>
      </c>
    </row>
    <row r="306" spans="1:2" x14ac:dyDescent="0.25">
      <c r="A306" s="252" t="s">
        <v>2669</v>
      </c>
      <c r="B306" s="253" t="s">
        <v>2498</v>
      </c>
    </row>
    <row r="307" spans="1:2" x14ac:dyDescent="0.25">
      <c r="A307" s="252" t="s">
        <v>2670</v>
      </c>
      <c r="B307" s="253" t="s">
        <v>2671</v>
      </c>
    </row>
    <row r="308" spans="1:2" x14ac:dyDescent="0.25">
      <c r="A308" s="252" t="s">
        <v>2672</v>
      </c>
      <c r="B308" s="253" t="s">
        <v>2600</v>
      </c>
    </row>
    <row r="309" spans="1:2" x14ac:dyDescent="0.25">
      <c r="A309" s="252" t="s">
        <v>2673</v>
      </c>
      <c r="B309" s="253" t="s">
        <v>2674</v>
      </c>
    </row>
    <row r="310" spans="1:2" x14ac:dyDescent="0.25">
      <c r="A310" s="252" t="s">
        <v>2675</v>
      </c>
      <c r="B310" s="253" t="s">
        <v>2604</v>
      </c>
    </row>
    <row r="311" spans="1:2" x14ac:dyDescent="0.25">
      <c r="A311" s="252" t="s">
        <v>2676</v>
      </c>
      <c r="B311" s="253" t="s">
        <v>2616</v>
      </c>
    </row>
    <row r="312" spans="1:2" x14ac:dyDescent="0.25">
      <c r="A312" s="252" t="s">
        <v>2677</v>
      </c>
      <c r="B312" s="253" t="s">
        <v>2618</v>
      </c>
    </row>
    <row r="313" spans="1:2" x14ac:dyDescent="0.25">
      <c r="A313" s="252" t="s">
        <v>2678</v>
      </c>
      <c r="B313" s="253" t="s">
        <v>2606</v>
      </c>
    </row>
    <row r="314" spans="1:2" x14ac:dyDescent="0.25">
      <c r="A314" s="252" t="s">
        <v>2679</v>
      </c>
      <c r="B314" s="253" t="s">
        <v>2608</v>
      </c>
    </row>
    <row r="315" spans="1:2" x14ac:dyDescent="0.25">
      <c r="A315" s="252" t="s">
        <v>2680</v>
      </c>
      <c r="B315" s="253" t="s">
        <v>2681</v>
      </c>
    </row>
    <row r="316" spans="1:2" x14ac:dyDescent="0.25">
      <c r="A316" s="252" t="s">
        <v>2682</v>
      </c>
      <c r="B316" s="253" t="s">
        <v>2612</v>
      </c>
    </row>
    <row r="317" spans="1:2" x14ac:dyDescent="0.25">
      <c r="A317" s="252" t="s">
        <v>2683</v>
      </c>
      <c r="B317" s="253" t="s">
        <v>2665</v>
      </c>
    </row>
    <row r="318" spans="1:2" x14ac:dyDescent="0.25">
      <c r="A318" s="252" t="s">
        <v>2684</v>
      </c>
      <c r="B318" s="253" t="s">
        <v>2404</v>
      </c>
    </row>
    <row r="319" spans="1:2" x14ac:dyDescent="0.25">
      <c r="A319" s="252" t="s">
        <v>2685</v>
      </c>
      <c r="B319" s="253" t="s">
        <v>2650</v>
      </c>
    </row>
    <row r="320" spans="1:2" x14ac:dyDescent="0.25">
      <c r="A320" s="252" t="s">
        <v>2686</v>
      </c>
      <c r="B320" s="253" t="s">
        <v>2433</v>
      </c>
    </row>
    <row r="321" spans="1:2" x14ac:dyDescent="0.25">
      <c r="A321" s="252" t="s">
        <v>2687</v>
      </c>
      <c r="B321" s="253" t="s">
        <v>2653</v>
      </c>
    </row>
    <row r="322" spans="1:2" x14ac:dyDescent="0.25">
      <c r="A322" s="252" t="s">
        <v>2688</v>
      </c>
      <c r="B322" s="253" t="s">
        <v>2655</v>
      </c>
    </row>
    <row r="323" spans="1:2" x14ac:dyDescent="0.25">
      <c r="A323" s="252" t="s">
        <v>2689</v>
      </c>
      <c r="B323" s="253" t="s">
        <v>2657</v>
      </c>
    </row>
    <row r="324" spans="1:2" x14ac:dyDescent="0.25">
      <c r="A324" s="252" t="s">
        <v>2690</v>
      </c>
      <c r="B324" s="253" t="s">
        <v>2407</v>
      </c>
    </row>
    <row r="325" spans="1:2" x14ac:dyDescent="0.25">
      <c r="A325" s="252" t="s">
        <v>2691</v>
      </c>
      <c r="B325" s="253" t="s">
        <v>2692</v>
      </c>
    </row>
    <row r="326" spans="1:2" x14ac:dyDescent="0.25">
      <c r="A326" s="252" t="s">
        <v>2693</v>
      </c>
      <c r="B326" s="253" t="s">
        <v>2694</v>
      </c>
    </row>
    <row r="327" spans="1:2" x14ac:dyDescent="0.25">
      <c r="A327" s="252" t="s">
        <v>2695</v>
      </c>
      <c r="B327" s="253" t="s">
        <v>2696</v>
      </c>
    </row>
    <row r="328" spans="1:2" x14ac:dyDescent="0.25">
      <c r="A328" s="252" t="s">
        <v>2697</v>
      </c>
      <c r="B328" s="253" t="s">
        <v>2698</v>
      </c>
    </row>
    <row r="329" spans="1:2" x14ac:dyDescent="0.25">
      <c r="A329" s="252" t="s">
        <v>2699</v>
      </c>
      <c r="B329" s="253" t="s">
        <v>2700</v>
      </c>
    </row>
    <row r="330" spans="1:2" x14ac:dyDescent="0.25">
      <c r="A330" s="252" t="s">
        <v>2701</v>
      </c>
      <c r="B330" s="253" t="s">
        <v>2431</v>
      </c>
    </row>
    <row r="331" spans="1:2" x14ac:dyDescent="0.25">
      <c r="A331" s="252" t="s">
        <v>2702</v>
      </c>
      <c r="B331" s="253" t="s">
        <v>2433</v>
      </c>
    </row>
    <row r="332" spans="1:2" x14ac:dyDescent="0.25">
      <c r="A332" s="252" t="s">
        <v>2703</v>
      </c>
      <c r="B332" s="253" t="s">
        <v>2437</v>
      </c>
    </row>
    <row r="333" spans="1:2" x14ac:dyDescent="0.25">
      <c r="A333" s="252" t="s">
        <v>2704</v>
      </c>
      <c r="B333" s="253" t="s">
        <v>2631</v>
      </c>
    </row>
    <row r="334" spans="1:2" x14ac:dyDescent="0.25">
      <c r="A334" s="252" t="s">
        <v>2705</v>
      </c>
      <c r="B334" s="253" t="s">
        <v>2441</v>
      </c>
    </row>
    <row r="335" spans="1:2" x14ac:dyDescent="0.25">
      <c r="A335" s="252" t="s">
        <v>2706</v>
      </c>
      <c r="B335" s="253" t="s">
        <v>2634</v>
      </c>
    </row>
    <row r="336" spans="1:2" x14ac:dyDescent="0.25">
      <c r="A336" s="252" t="s">
        <v>2707</v>
      </c>
      <c r="B336" s="253" t="s">
        <v>2443</v>
      </c>
    </row>
    <row r="337" spans="1:2" x14ac:dyDescent="0.25">
      <c r="A337" s="252" t="s">
        <v>2708</v>
      </c>
      <c r="B337" s="253" t="s">
        <v>2637</v>
      </c>
    </row>
    <row r="338" spans="1:2" x14ac:dyDescent="0.25">
      <c r="A338" s="252" t="s">
        <v>2709</v>
      </c>
      <c r="B338" s="253" t="s">
        <v>2710</v>
      </c>
    </row>
    <row r="339" spans="1:2" x14ac:dyDescent="0.25">
      <c r="A339" s="252" t="s">
        <v>2711</v>
      </c>
      <c r="B339" s="253" t="s">
        <v>2646</v>
      </c>
    </row>
    <row r="340" spans="1:2" x14ac:dyDescent="0.25">
      <c r="A340" s="252" t="s">
        <v>2712</v>
      </c>
      <c r="B340" s="253" t="s">
        <v>2648</v>
      </c>
    </row>
    <row r="341" spans="1:2" x14ac:dyDescent="0.25">
      <c r="A341" s="252" t="s">
        <v>2713</v>
      </c>
      <c r="B341" s="253" t="s">
        <v>2714</v>
      </c>
    </row>
    <row r="342" spans="1:2" x14ac:dyDescent="0.25">
      <c r="A342" s="252" t="s">
        <v>2715</v>
      </c>
      <c r="B342" s="253" t="s">
        <v>2716</v>
      </c>
    </row>
    <row r="343" spans="1:2" x14ac:dyDescent="0.25">
      <c r="A343" s="252" t="s">
        <v>2717</v>
      </c>
      <c r="B343" s="253" t="s">
        <v>2718</v>
      </c>
    </row>
    <row r="344" spans="1:2" x14ac:dyDescent="0.25">
      <c r="A344" s="252" t="s">
        <v>2719</v>
      </c>
      <c r="B344" s="253" t="s">
        <v>2720</v>
      </c>
    </row>
    <row r="345" spans="1:2" x14ac:dyDescent="0.25">
      <c r="A345" s="252" t="s">
        <v>2721</v>
      </c>
      <c r="B345" s="253" t="s">
        <v>2722</v>
      </c>
    </row>
    <row r="346" spans="1:2" x14ac:dyDescent="0.25">
      <c r="A346" s="252" t="s">
        <v>2723</v>
      </c>
      <c r="B346" s="253" t="s">
        <v>2724</v>
      </c>
    </row>
    <row r="347" spans="1:2" x14ac:dyDescent="0.25">
      <c r="A347" s="252" t="s">
        <v>2725</v>
      </c>
      <c r="B347" s="253" t="s">
        <v>2726</v>
      </c>
    </row>
    <row r="348" spans="1:2" x14ac:dyDescent="0.25">
      <c r="A348" s="252" t="s">
        <v>2727</v>
      </c>
      <c r="B348" s="253" t="s">
        <v>2728</v>
      </c>
    </row>
    <row r="349" spans="1:2" x14ac:dyDescent="0.25">
      <c r="A349" s="252" t="s">
        <v>2729</v>
      </c>
      <c r="B349" s="253" t="s">
        <v>2730</v>
      </c>
    </row>
    <row r="350" spans="1:2" x14ac:dyDescent="0.25">
      <c r="A350" s="252" t="s">
        <v>2731</v>
      </c>
      <c r="B350" s="253" t="s">
        <v>2732</v>
      </c>
    </row>
    <row r="351" spans="1:2" x14ac:dyDescent="0.25">
      <c r="A351" s="252" t="s">
        <v>2733</v>
      </c>
      <c r="B351" s="253" t="s">
        <v>2734</v>
      </c>
    </row>
    <row r="352" spans="1:2" x14ac:dyDescent="0.25">
      <c r="A352" s="252" t="s">
        <v>2735</v>
      </c>
      <c r="B352" s="253" t="s">
        <v>2736</v>
      </c>
    </row>
    <row r="353" spans="1:2" x14ac:dyDescent="0.25">
      <c r="A353" s="252" t="s">
        <v>2737</v>
      </c>
      <c r="B353" s="253" t="s">
        <v>2244</v>
      </c>
    </row>
    <row r="354" spans="1:2" x14ac:dyDescent="0.25">
      <c r="A354" s="252" t="s">
        <v>2738</v>
      </c>
      <c r="B354" s="253" t="s">
        <v>2739</v>
      </c>
    </row>
    <row r="355" spans="1:2" x14ac:dyDescent="0.25">
      <c r="A355" s="252" t="s">
        <v>2740</v>
      </c>
      <c r="B355" s="253" t="s">
        <v>2264</v>
      </c>
    </row>
    <row r="356" spans="1:2" x14ac:dyDescent="0.25">
      <c r="A356" s="252" t="s">
        <v>2741</v>
      </c>
      <c r="B356" s="253" t="s">
        <v>2266</v>
      </c>
    </row>
    <row r="357" spans="1:2" x14ac:dyDescent="0.25">
      <c r="A357" s="252" t="s">
        <v>2742</v>
      </c>
      <c r="B357" s="253" t="s">
        <v>2743</v>
      </c>
    </row>
    <row r="358" spans="1:2" x14ac:dyDescent="0.25">
      <c r="A358" s="252" t="s">
        <v>2744</v>
      </c>
      <c r="B358" s="253" t="s">
        <v>2745</v>
      </c>
    </row>
    <row r="359" spans="1:2" x14ac:dyDescent="0.25">
      <c r="A359" s="252" t="s">
        <v>2746</v>
      </c>
      <c r="B359" s="253" t="s">
        <v>2747</v>
      </c>
    </row>
    <row r="360" spans="1:2" x14ac:dyDescent="0.25">
      <c r="A360" s="252" t="s">
        <v>2748</v>
      </c>
      <c r="B360" s="253" t="s">
        <v>2749</v>
      </c>
    </row>
    <row r="361" spans="1:2" x14ac:dyDescent="0.25">
      <c r="A361" s="252" t="s">
        <v>2750</v>
      </c>
      <c r="B361" s="253" t="s">
        <v>2572</v>
      </c>
    </row>
    <row r="362" spans="1:2" x14ac:dyDescent="0.25">
      <c r="A362" s="252" t="s">
        <v>2751</v>
      </c>
      <c r="B362" s="253" t="s">
        <v>2566</v>
      </c>
    </row>
    <row r="363" spans="1:2" x14ac:dyDescent="0.25">
      <c r="A363" s="252" t="s">
        <v>2752</v>
      </c>
      <c r="B363" s="253" t="s">
        <v>2385</v>
      </c>
    </row>
    <row r="364" spans="1:2" x14ac:dyDescent="0.25">
      <c r="A364" s="252" t="s">
        <v>2753</v>
      </c>
      <c r="B364" s="253" t="s">
        <v>2389</v>
      </c>
    </row>
    <row r="365" spans="1:2" x14ac:dyDescent="0.25">
      <c r="A365" s="252" t="s">
        <v>2754</v>
      </c>
      <c r="B365" s="253" t="s">
        <v>2665</v>
      </c>
    </row>
    <row r="366" spans="1:2" x14ac:dyDescent="0.25">
      <c r="A366" s="252" t="s">
        <v>2755</v>
      </c>
      <c r="B366" s="253" t="s">
        <v>2596</v>
      </c>
    </row>
    <row r="367" spans="1:2" x14ac:dyDescent="0.25">
      <c r="A367" s="252" t="s">
        <v>2756</v>
      </c>
      <c r="B367" s="253" t="s">
        <v>2268</v>
      </c>
    </row>
    <row r="368" spans="1:2" x14ac:dyDescent="0.25">
      <c r="A368" s="252" t="s">
        <v>2757</v>
      </c>
      <c r="B368" s="253" t="s">
        <v>2254</v>
      </c>
    </row>
    <row r="369" spans="1:2" x14ac:dyDescent="0.25">
      <c r="A369" s="252" t="s">
        <v>2758</v>
      </c>
      <c r="B369" s="253" t="s">
        <v>2256</v>
      </c>
    </row>
    <row r="370" spans="1:2" x14ac:dyDescent="0.25">
      <c r="A370" s="252" t="s">
        <v>2759</v>
      </c>
      <c r="B370" s="253" t="s">
        <v>2760</v>
      </c>
    </row>
    <row r="371" spans="1:2" x14ac:dyDescent="0.25">
      <c r="A371" s="252" t="s">
        <v>2761</v>
      </c>
      <c r="B371" s="253" t="s">
        <v>2762</v>
      </c>
    </row>
    <row r="372" spans="1:2" x14ac:dyDescent="0.25">
      <c r="A372" s="252" t="s">
        <v>2763</v>
      </c>
      <c r="B372" s="253" t="s">
        <v>2764</v>
      </c>
    </row>
    <row r="373" spans="1:2" x14ac:dyDescent="0.25">
      <c r="A373" s="252" t="s">
        <v>2765</v>
      </c>
      <c r="B373" s="253" t="s">
        <v>2766</v>
      </c>
    </row>
    <row r="374" spans="1:2" x14ac:dyDescent="0.25">
      <c r="A374" s="252" t="s">
        <v>2767</v>
      </c>
      <c r="B374" s="253" t="s">
        <v>2768</v>
      </c>
    </row>
    <row r="375" spans="1:2" x14ac:dyDescent="0.25">
      <c r="A375" s="252" t="s">
        <v>2769</v>
      </c>
      <c r="B375" s="253" t="s">
        <v>2770</v>
      </c>
    </row>
    <row r="376" spans="1:2" x14ac:dyDescent="0.25">
      <c r="A376" s="252" t="s">
        <v>2771</v>
      </c>
      <c r="B376" s="253" t="s">
        <v>2772</v>
      </c>
    </row>
    <row r="377" spans="1:2" x14ac:dyDescent="0.25">
      <c r="A377" s="252" t="s">
        <v>2773</v>
      </c>
      <c r="B377" s="253" t="s">
        <v>2774</v>
      </c>
    </row>
    <row r="378" spans="1:2" x14ac:dyDescent="0.25">
      <c r="A378" s="252" t="s">
        <v>2775</v>
      </c>
      <c r="B378" s="253" t="s">
        <v>2776</v>
      </c>
    </row>
    <row r="379" spans="1:2" x14ac:dyDescent="0.25">
      <c r="A379" s="252" t="s">
        <v>2777</v>
      </c>
      <c r="B379" s="253" t="s">
        <v>2778</v>
      </c>
    </row>
    <row r="380" spans="1:2" x14ac:dyDescent="0.25">
      <c r="A380" s="252" t="s">
        <v>2779</v>
      </c>
      <c r="B380" s="253" t="s">
        <v>2780</v>
      </c>
    </row>
    <row r="381" spans="1:2" x14ac:dyDescent="0.25">
      <c r="A381" s="252" t="s">
        <v>2781</v>
      </c>
      <c r="B381" s="253" t="s">
        <v>2782</v>
      </c>
    </row>
    <row r="382" spans="1:2" x14ac:dyDescent="0.25">
      <c r="A382" s="252" t="s">
        <v>2783</v>
      </c>
      <c r="B382" s="253" t="s">
        <v>2784</v>
      </c>
    </row>
    <row r="383" spans="1:2" x14ac:dyDescent="0.25">
      <c r="A383" s="252" t="s">
        <v>2785</v>
      </c>
      <c r="B383" s="253" t="s">
        <v>2786</v>
      </c>
    </row>
    <row r="384" spans="1:2" x14ac:dyDescent="0.25">
      <c r="A384" s="252" t="s">
        <v>2787</v>
      </c>
      <c r="B384" s="253" t="s">
        <v>2788</v>
      </c>
    </row>
    <row r="385" spans="1:2" x14ac:dyDescent="0.25">
      <c r="A385" s="252" t="s">
        <v>2789</v>
      </c>
      <c r="B385" s="253" t="s">
        <v>2790</v>
      </c>
    </row>
    <row r="386" spans="1:2" x14ac:dyDescent="0.25">
      <c r="A386" s="252" t="s">
        <v>2791</v>
      </c>
      <c r="B386" s="253" t="s">
        <v>2792</v>
      </c>
    </row>
    <row r="387" spans="1:2" x14ac:dyDescent="0.25">
      <c r="A387" s="252" t="s">
        <v>2793</v>
      </c>
      <c r="B387" s="253" t="s">
        <v>2794</v>
      </c>
    </row>
    <row r="388" spans="1:2" x14ac:dyDescent="0.25">
      <c r="A388" s="252" t="s">
        <v>2795</v>
      </c>
      <c r="B388" s="253" t="s">
        <v>2796</v>
      </c>
    </row>
    <row r="389" spans="1:2" x14ac:dyDescent="0.25">
      <c r="A389" s="252" t="s">
        <v>2797</v>
      </c>
      <c r="B389" s="253" t="s">
        <v>2798</v>
      </c>
    </row>
    <row r="390" spans="1:2" x14ac:dyDescent="0.25">
      <c r="A390" s="252" t="s">
        <v>2799</v>
      </c>
      <c r="B390" s="253" t="s">
        <v>2800</v>
      </c>
    </row>
    <row r="391" spans="1:2" x14ac:dyDescent="0.25">
      <c r="A391" s="252" t="s">
        <v>2801</v>
      </c>
      <c r="B391" s="253" t="s">
        <v>2802</v>
      </c>
    </row>
    <row r="392" spans="1:2" x14ac:dyDescent="0.25">
      <c r="A392" s="252" t="s">
        <v>2803</v>
      </c>
      <c r="B392" s="253" t="s">
        <v>2804</v>
      </c>
    </row>
    <row r="393" spans="1:2" x14ac:dyDescent="0.25">
      <c r="A393" s="252" t="s">
        <v>2805</v>
      </c>
      <c r="B393" s="253" t="s">
        <v>2806</v>
      </c>
    </row>
    <row r="394" spans="1:2" x14ac:dyDescent="0.25">
      <c r="A394" s="252" t="s">
        <v>2807</v>
      </c>
      <c r="B394" s="253" t="s">
        <v>2808</v>
      </c>
    </row>
    <row r="395" spans="1:2" x14ac:dyDescent="0.25">
      <c r="A395" s="252" t="s">
        <v>2809</v>
      </c>
      <c r="B395" s="253" t="s">
        <v>2810</v>
      </c>
    </row>
    <row r="396" spans="1:2" x14ac:dyDescent="0.25">
      <c r="A396" s="252" t="s">
        <v>2811</v>
      </c>
      <c r="B396" s="253" t="s">
        <v>2812</v>
      </c>
    </row>
    <row r="397" spans="1:2" x14ac:dyDescent="0.25">
      <c r="A397" s="252" t="s">
        <v>2813</v>
      </c>
      <c r="B397" s="253" t="s">
        <v>2814</v>
      </c>
    </row>
    <row r="398" spans="1:2" x14ac:dyDescent="0.25">
      <c r="A398" s="252" t="s">
        <v>2815</v>
      </c>
      <c r="B398" s="253" t="s">
        <v>2816</v>
      </c>
    </row>
    <row r="399" spans="1:2" x14ac:dyDescent="0.25">
      <c r="A399" s="252" t="s">
        <v>2817</v>
      </c>
      <c r="B399" s="253" t="s">
        <v>2818</v>
      </c>
    </row>
    <row r="400" spans="1:2" x14ac:dyDescent="0.25">
      <c r="A400" s="252" t="s">
        <v>2819</v>
      </c>
      <c r="B400" s="253" t="s">
        <v>2820</v>
      </c>
    </row>
    <row r="401" spans="1:2" x14ac:dyDescent="0.25">
      <c r="A401" s="252" t="s">
        <v>2821</v>
      </c>
      <c r="B401" s="253" t="s">
        <v>2822</v>
      </c>
    </row>
    <row r="402" spans="1:2" x14ac:dyDescent="0.25">
      <c r="A402" s="252" t="s">
        <v>2823</v>
      </c>
      <c r="B402" s="253" t="s">
        <v>2824</v>
      </c>
    </row>
    <row r="403" spans="1:2" x14ac:dyDescent="0.25">
      <c r="A403" s="252" t="s">
        <v>2825</v>
      </c>
      <c r="B403" s="253" t="s">
        <v>2826</v>
      </c>
    </row>
    <row r="404" spans="1:2" x14ac:dyDescent="0.25">
      <c r="A404" s="252" t="s">
        <v>2827</v>
      </c>
      <c r="B404" s="253" t="s">
        <v>2650</v>
      </c>
    </row>
    <row r="405" spans="1:2" x14ac:dyDescent="0.25">
      <c r="A405" s="252" t="s">
        <v>2828</v>
      </c>
      <c r="B405" s="253" t="s">
        <v>2433</v>
      </c>
    </row>
    <row r="406" spans="1:2" x14ac:dyDescent="0.25">
      <c r="A406" s="252" t="s">
        <v>2829</v>
      </c>
      <c r="B406" s="253" t="s">
        <v>2830</v>
      </c>
    </row>
    <row r="407" spans="1:2" x14ac:dyDescent="0.25">
      <c r="A407" s="252" t="s">
        <v>2831</v>
      </c>
      <c r="B407" s="253" t="s">
        <v>2655</v>
      </c>
    </row>
    <row r="408" spans="1:2" x14ac:dyDescent="0.25">
      <c r="A408" s="252" t="s">
        <v>2832</v>
      </c>
      <c r="B408" s="253" t="s">
        <v>2833</v>
      </c>
    </row>
    <row r="409" spans="1:2" x14ac:dyDescent="0.25">
      <c r="A409" s="252" t="s">
        <v>2834</v>
      </c>
      <c r="B409" s="253" t="s">
        <v>2469</v>
      </c>
    </row>
    <row r="410" spans="1:2" x14ac:dyDescent="0.25">
      <c r="A410" s="252" t="s">
        <v>2835</v>
      </c>
      <c r="B410" s="253" t="s">
        <v>2836</v>
      </c>
    </row>
    <row r="411" spans="1:2" x14ac:dyDescent="0.25">
      <c r="A411" s="252" t="s">
        <v>2837</v>
      </c>
      <c r="B411" s="253" t="s">
        <v>2838</v>
      </c>
    </row>
    <row r="412" spans="1:2" x14ac:dyDescent="0.25">
      <c r="A412" s="252" t="s">
        <v>2839</v>
      </c>
      <c r="B412" s="253" t="s">
        <v>2840</v>
      </c>
    </row>
    <row r="413" spans="1:2" x14ac:dyDescent="0.25">
      <c r="A413" s="252" t="s">
        <v>2841</v>
      </c>
      <c r="B413" s="253" t="s">
        <v>2842</v>
      </c>
    </row>
    <row r="414" spans="1:2" x14ac:dyDescent="0.25">
      <c r="A414" s="252" t="s">
        <v>2843</v>
      </c>
      <c r="B414" s="253" t="s">
        <v>2844</v>
      </c>
    </row>
    <row r="415" spans="1:2" x14ac:dyDescent="0.25">
      <c r="A415" s="252" t="s">
        <v>2845</v>
      </c>
      <c r="B415" s="253" t="s">
        <v>2846</v>
      </c>
    </row>
    <row r="416" spans="1:2" x14ac:dyDescent="0.25">
      <c r="A416" s="252" t="s">
        <v>2847</v>
      </c>
      <c r="B416" s="253" t="s">
        <v>2848</v>
      </c>
    </row>
    <row r="417" spans="1:2" x14ac:dyDescent="0.25">
      <c r="A417" s="252" t="s">
        <v>2849</v>
      </c>
      <c r="B417" s="253" t="s">
        <v>2850</v>
      </c>
    </row>
    <row r="418" spans="1:2" x14ac:dyDescent="0.25">
      <c r="A418" s="252" t="s">
        <v>2851</v>
      </c>
      <c r="B418" s="253" t="s">
        <v>2852</v>
      </c>
    </row>
    <row r="419" spans="1:2" x14ac:dyDescent="0.25">
      <c r="A419" s="252" t="s">
        <v>2853</v>
      </c>
      <c r="B419" s="253" t="s">
        <v>2854</v>
      </c>
    </row>
    <row r="420" spans="1:2" x14ac:dyDescent="0.25">
      <c r="A420" s="252" t="s">
        <v>2855</v>
      </c>
      <c r="B420" s="253" t="s">
        <v>2856</v>
      </c>
    </row>
    <row r="421" spans="1:2" x14ac:dyDescent="0.25">
      <c r="A421" s="252" t="s">
        <v>2857</v>
      </c>
      <c r="B421" s="253" t="s">
        <v>2858</v>
      </c>
    </row>
    <row r="422" spans="1:2" x14ac:dyDescent="0.25">
      <c r="A422" s="252" t="s">
        <v>2859</v>
      </c>
      <c r="B422" s="253" t="s">
        <v>2860</v>
      </c>
    </row>
    <row r="423" spans="1:2" x14ac:dyDescent="0.25">
      <c r="A423" s="252" t="s">
        <v>2861</v>
      </c>
      <c r="B423" s="253" t="s">
        <v>2745</v>
      </c>
    </row>
    <row r="424" spans="1:2" x14ac:dyDescent="0.25">
      <c r="A424" s="252" t="s">
        <v>2862</v>
      </c>
      <c r="B424" s="253" t="s">
        <v>2264</v>
      </c>
    </row>
    <row r="425" spans="1:2" x14ac:dyDescent="0.25">
      <c r="A425" s="252" t="s">
        <v>2863</v>
      </c>
      <c r="B425" s="253" t="s">
        <v>2266</v>
      </c>
    </row>
    <row r="426" spans="1:2" x14ac:dyDescent="0.25">
      <c r="A426" s="252" t="s">
        <v>2864</v>
      </c>
      <c r="B426" s="253" t="s">
        <v>2261</v>
      </c>
    </row>
    <row r="427" spans="1:2" x14ac:dyDescent="0.25">
      <c r="A427" s="252" t="s">
        <v>2865</v>
      </c>
      <c r="B427" s="253" t="s">
        <v>2739</v>
      </c>
    </row>
    <row r="428" spans="1:2" x14ac:dyDescent="0.25">
      <c r="A428" s="252" t="s">
        <v>2866</v>
      </c>
      <c r="B428" s="253" t="s">
        <v>2867</v>
      </c>
    </row>
    <row r="429" spans="1:2" x14ac:dyDescent="0.25">
      <c r="A429" s="252" t="s">
        <v>2868</v>
      </c>
      <c r="B429" s="253" t="s">
        <v>2572</v>
      </c>
    </row>
    <row r="430" spans="1:2" x14ac:dyDescent="0.25">
      <c r="A430" s="252" t="s">
        <v>2869</v>
      </c>
      <c r="B430" s="253" t="s">
        <v>2566</v>
      </c>
    </row>
    <row r="431" spans="1:2" x14ac:dyDescent="0.25">
      <c r="A431" s="252" t="s">
        <v>2870</v>
      </c>
      <c r="B431" s="253" t="s">
        <v>2385</v>
      </c>
    </row>
    <row r="432" spans="1:2" x14ac:dyDescent="0.25">
      <c r="A432" s="252" t="s">
        <v>2871</v>
      </c>
      <c r="B432" s="253" t="s">
        <v>2389</v>
      </c>
    </row>
    <row r="433" spans="1:2" x14ac:dyDescent="0.25">
      <c r="A433" s="252" t="s">
        <v>2872</v>
      </c>
      <c r="B433" s="253" t="s">
        <v>2665</v>
      </c>
    </row>
    <row r="434" spans="1:2" x14ac:dyDescent="0.25">
      <c r="A434" s="252" t="s">
        <v>2873</v>
      </c>
      <c r="B434" s="253" t="s">
        <v>2596</v>
      </c>
    </row>
    <row r="435" spans="1:2" x14ac:dyDescent="0.25">
      <c r="A435" s="252" t="s">
        <v>2874</v>
      </c>
      <c r="B435" s="253" t="s">
        <v>2268</v>
      </c>
    </row>
    <row r="436" spans="1:2" x14ac:dyDescent="0.25">
      <c r="A436" s="252" t="s">
        <v>2875</v>
      </c>
      <c r="B436" s="253" t="s">
        <v>2254</v>
      </c>
    </row>
    <row r="437" spans="1:2" x14ac:dyDescent="0.25">
      <c r="A437" s="252" t="s">
        <v>2876</v>
      </c>
      <c r="B437" s="253" t="s">
        <v>2877</v>
      </c>
    </row>
    <row r="438" spans="1:2" x14ac:dyDescent="0.25">
      <c r="A438" s="252" t="s">
        <v>2878</v>
      </c>
      <c r="B438" s="253" t="s">
        <v>2766</v>
      </c>
    </row>
    <row r="439" spans="1:2" x14ac:dyDescent="0.25">
      <c r="A439" s="252" t="s">
        <v>2879</v>
      </c>
      <c r="B439" s="253" t="s">
        <v>2760</v>
      </c>
    </row>
    <row r="440" spans="1:2" x14ac:dyDescent="0.25">
      <c r="A440" s="252" t="s">
        <v>2880</v>
      </c>
      <c r="B440" s="253" t="s">
        <v>2762</v>
      </c>
    </row>
    <row r="441" spans="1:2" x14ac:dyDescent="0.25">
      <c r="A441" s="252" t="s">
        <v>2881</v>
      </c>
      <c r="B441" s="253" t="s">
        <v>2882</v>
      </c>
    </row>
    <row r="442" spans="1:2" x14ac:dyDescent="0.25">
      <c r="A442" s="252" t="s">
        <v>2883</v>
      </c>
      <c r="B442" s="253" t="s">
        <v>2770</v>
      </c>
    </row>
    <row r="443" spans="1:2" x14ac:dyDescent="0.25">
      <c r="A443" s="252" t="s">
        <v>2884</v>
      </c>
      <c r="B443" s="253" t="s">
        <v>2772</v>
      </c>
    </row>
    <row r="444" spans="1:2" x14ac:dyDescent="0.25">
      <c r="A444" s="252" t="s">
        <v>2885</v>
      </c>
      <c r="B444" s="253" t="s">
        <v>2886</v>
      </c>
    </row>
    <row r="445" spans="1:2" x14ac:dyDescent="0.25">
      <c r="A445" s="252" t="s">
        <v>2887</v>
      </c>
      <c r="B445" s="253" t="s">
        <v>2776</v>
      </c>
    </row>
    <row r="446" spans="1:2" x14ac:dyDescent="0.25">
      <c r="A446" s="252" t="s">
        <v>2888</v>
      </c>
      <c r="B446" s="253" t="s">
        <v>2889</v>
      </c>
    </row>
    <row r="447" spans="1:2" x14ac:dyDescent="0.25">
      <c r="A447" s="252" t="s">
        <v>2890</v>
      </c>
      <c r="B447" s="253" t="s">
        <v>2780</v>
      </c>
    </row>
    <row r="448" spans="1:2" x14ac:dyDescent="0.25">
      <c r="A448" s="252" t="s">
        <v>2891</v>
      </c>
      <c r="B448" s="253" t="s">
        <v>2892</v>
      </c>
    </row>
    <row r="449" spans="1:2" x14ac:dyDescent="0.25">
      <c r="A449" s="252" t="s">
        <v>2893</v>
      </c>
      <c r="B449" s="253" t="s">
        <v>2894</v>
      </c>
    </row>
    <row r="450" spans="1:2" x14ac:dyDescent="0.25">
      <c r="A450" s="252" t="s">
        <v>2895</v>
      </c>
      <c r="B450" s="253" t="s">
        <v>2896</v>
      </c>
    </row>
    <row r="451" spans="1:2" x14ac:dyDescent="0.25">
      <c r="A451" s="252" t="s">
        <v>2897</v>
      </c>
      <c r="B451" s="253" t="s">
        <v>2898</v>
      </c>
    </row>
    <row r="452" spans="1:2" x14ac:dyDescent="0.25">
      <c r="A452" s="252" t="s">
        <v>2899</v>
      </c>
      <c r="B452" s="253" t="s">
        <v>2900</v>
      </c>
    </row>
    <row r="453" spans="1:2" x14ac:dyDescent="0.25">
      <c r="A453" s="252" t="s">
        <v>2901</v>
      </c>
      <c r="B453" s="253" t="s">
        <v>2902</v>
      </c>
    </row>
    <row r="454" spans="1:2" x14ac:dyDescent="0.25">
      <c r="A454" s="252" t="s">
        <v>2903</v>
      </c>
      <c r="B454" s="253" t="s">
        <v>2904</v>
      </c>
    </row>
    <row r="455" spans="1:2" x14ac:dyDescent="0.25">
      <c r="A455" s="252" t="s">
        <v>2905</v>
      </c>
      <c r="B455" s="253" t="s">
        <v>2575</v>
      </c>
    </row>
    <row r="456" spans="1:2" x14ac:dyDescent="0.25">
      <c r="A456" s="252" t="s">
        <v>2906</v>
      </c>
      <c r="B456" s="253" t="s">
        <v>2736</v>
      </c>
    </row>
    <row r="457" spans="1:2" x14ac:dyDescent="0.25">
      <c r="A457" s="252" t="s">
        <v>2907</v>
      </c>
      <c r="B457" s="253" t="s">
        <v>2908</v>
      </c>
    </row>
    <row r="458" spans="1:2" x14ac:dyDescent="0.25">
      <c r="A458" s="252" t="s">
        <v>2909</v>
      </c>
      <c r="B458" s="253" t="s">
        <v>2732</v>
      </c>
    </row>
    <row r="459" spans="1:2" x14ac:dyDescent="0.25">
      <c r="A459" s="252" t="s">
        <v>2910</v>
      </c>
      <c r="B459" s="253" t="s">
        <v>2911</v>
      </c>
    </row>
    <row r="460" spans="1:2" x14ac:dyDescent="0.25">
      <c r="A460" s="252" t="s">
        <v>2912</v>
      </c>
      <c r="B460" s="253" t="s">
        <v>2913</v>
      </c>
    </row>
    <row r="461" spans="1:2" x14ac:dyDescent="0.25">
      <c r="A461" s="252" t="s">
        <v>2914</v>
      </c>
      <c r="B461" s="253" t="s">
        <v>2915</v>
      </c>
    </row>
    <row r="462" spans="1:2" x14ac:dyDescent="0.25">
      <c r="A462" s="252" t="s">
        <v>2916</v>
      </c>
      <c r="B462" s="253" t="s">
        <v>2917</v>
      </c>
    </row>
    <row r="463" spans="1:2" x14ac:dyDescent="0.25">
      <c r="A463" s="252" t="s">
        <v>2918</v>
      </c>
      <c r="B463" s="253" t="s">
        <v>2919</v>
      </c>
    </row>
    <row r="464" spans="1:2" x14ac:dyDescent="0.25">
      <c r="A464" s="252" t="s">
        <v>2920</v>
      </c>
      <c r="B464" s="253" t="s">
        <v>2921</v>
      </c>
    </row>
    <row r="465" spans="1:2" x14ac:dyDescent="0.25">
      <c r="A465" s="252" t="s">
        <v>2922</v>
      </c>
      <c r="B465" s="253" t="s">
        <v>2923</v>
      </c>
    </row>
    <row r="466" spans="1:2" x14ac:dyDescent="0.25">
      <c r="A466" s="252" t="s">
        <v>96</v>
      </c>
      <c r="B466" s="253" t="s">
        <v>2924</v>
      </c>
    </row>
    <row r="467" spans="1:2" x14ac:dyDescent="0.25">
      <c r="A467" s="252" t="s">
        <v>2925</v>
      </c>
      <c r="B467" s="253" t="s">
        <v>2926</v>
      </c>
    </row>
    <row r="468" spans="1:2" x14ac:dyDescent="0.25">
      <c r="A468" s="252" t="s">
        <v>2927</v>
      </c>
      <c r="B468" s="253" t="s">
        <v>2288</v>
      </c>
    </row>
    <row r="469" spans="1:2" x14ac:dyDescent="0.25">
      <c r="A469" s="252" t="s">
        <v>2928</v>
      </c>
      <c r="B469" s="253" t="s">
        <v>2929</v>
      </c>
    </row>
    <row r="470" spans="1:2" x14ac:dyDescent="0.25">
      <c r="A470" s="252" t="s">
        <v>2930</v>
      </c>
      <c r="B470" s="253" t="s">
        <v>2290</v>
      </c>
    </row>
    <row r="471" spans="1:2" x14ac:dyDescent="0.25">
      <c r="A471" s="252" t="s">
        <v>2931</v>
      </c>
      <c r="B471" s="253" t="s">
        <v>2932</v>
      </c>
    </row>
    <row r="472" spans="1:2" x14ac:dyDescent="0.25">
      <c r="A472" s="252" t="s">
        <v>2933</v>
      </c>
      <c r="B472" s="253" t="s">
        <v>2932</v>
      </c>
    </row>
    <row r="473" spans="1:2" x14ac:dyDescent="0.25">
      <c r="A473" s="252" t="s">
        <v>957</v>
      </c>
      <c r="B473" s="253" t="s">
        <v>2934</v>
      </c>
    </row>
    <row r="474" spans="1:2" x14ac:dyDescent="0.25">
      <c r="A474" s="252" t="s">
        <v>2935</v>
      </c>
      <c r="B474" s="253" t="s">
        <v>2936</v>
      </c>
    </row>
    <row r="475" spans="1:2" x14ac:dyDescent="0.25">
      <c r="A475" s="252" t="s">
        <v>2937</v>
      </c>
      <c r="B475" s="253" t="s">
        <v>2936</v>
      </c>
    </row>
    <row r="476" spans="1:2" x14ac:dyDescent="0.25">
      <c r="A476" s="252" t="s">
        <v>2938</v>
      </c>
      <c r="B476" s="253" t="s">
        <v>2447</v>
      </c>
    </row>
    <row r="477" spans="1:2" x14ac:dyDescent="0.25">
      <c r="A477" s="252" t="s">
        <v>2939</v>
      </c>
      <c r="B477" s="253" t="s">
        <v>2451</v>
      </c>
    </row>
    <row r="478" spans="1:2" x14ac:dyDescent="0.25">
      <c r="A478" s="252" t="s">
        <v>2940</v>
      </c>
      <c r="B478" s="253" t="s">
        <v>2453</v>
      </c>
    </row>
    <row r="479" spans="1:2" x14ac:dyDescent="0.25">
      <c r="A479" s="252" t="s">
        <v>2941</v>
      </c>
      <c r="B479" s="253" t="s">
        <v>2942</v>
      </c>
    </row>
    <row r="480" spans="1:2" x14ac:dyDescent="0.25">
      <c r="A480" s="252" t="s">
        <v>2943</v>
      </c>
      <c r="B480" s="253" t="s">
        <v>2944</v>
      </c>
    </row>
    <row r="481" spans="1:2" x14ac:dyDescent="0.25">
      <c r="A481" s="252" t="s">
        <v>2945</v>
      </c>
      <c r="B481" s="253" t="s">
        <v>2946</v>
      </c>
    </row>
    <row r="482" spans="1:2" x14ac:dyDescent="0.25">
      <c r="A482" s="252" t="s">
        <v>2947</v>
      </c>
      <c r="B482" s="253" t="s">
        <v>2948</v>
      </c>
    </row>
    <row r="483" spans="1:2" x14ac:dyDescent="0.25">
      <c r="A483" s="252" t="s">
        <v>2949</v>
      </c>
      <c r="B483" s="253" t="s">
        <v>2950</v>
      </c>
    </row>
    <row r="484" spans="1:2" x14ac:dyDescent="0.25">
      <c r="A484" s="252" t="s">
        <v>2951</v>
      </c>
      <c r="B484" s="253" t="s">
        <v>2952</v>
      </c>
    </row>
    <row r="485" spans="1:2" x14ac:dyDescent="0.25">
      <c r="A485" s="252" t="s">
        <v>2953</v>
      </c>
      <c r="B485" s="253" t="s">
        <v>2954</v>
      </c>
    </row>
    <row r="486" spans="1:2" x14ac:dyDescent="0.25">
      <c r="A486" s="252" t="s">
        <v>2955</v>
      </c>
      <c r="B486" s="253" t="s">
        <v>2956</v>
      </c>
    </row>
    <row r="487" spans="1:2" x14ac:dyDescent="0.25">
      <c r="A487" s="252" t="s">
        <v>2957</v>
      </c>
      <c r="B487" s="253" t="s">
        <v>2958</v>
      </c>
    </row>
    <row r="488" spans="1:2" x14ac:dyDescent="0.25">
      <c r="A488" s="252" t="s">
        <v>2959</v>
      </c>
      <c r="B488" s="253" t="s">
        <v>2960</v>
      </c>
    </row>
    <row r="489" spans="1:2" x14ac:dyDescent="0.25">
      <c r="A489" s="252" t="s">
        <v>2961</v>
      </c>
      <c r="B489" s="253" t="s">
        <v>2962</v>
      </c>
    </row>
    <row r="490" spans="1:2" x14ac:dyDescent="0.25">
      <c r="A490" s="252" t="s">
        <v>2963</v>
      </c>
      <c r="B490" s="253" t="s">
        <v>2964</v>
      </c>
    </row>
    <row r="491" spans="1:2" x14ac:dyDescent="0.25">
      <c r="A491" s="252" t="s">
        <v>2965</v>
      </c>
      <c r="B491" s="253" t="s">
        <v>2966</v>
      </c>
    </row>
    <row r="492" spans="1:2" x14ac:dyDescent="0.25">
      <c r="A492" s="252" t="s">
        <v>2967</v>
      </c>
      <c r="B492" s="253" t="s">
        <v>2968</v>
      </c>
    </row>
    <row r="493" spans="1:2" x14ac:dyDescent="0.25">
      <c r="A493" s="252" t="s">
        <v>2969</v>
      </c>
      <c r="B493" s="253" t="s">
        <v>2970</v>
      </c>
    </row>
    <row r="494" spans="1:2" x14ac:dyDescent="0.25">
      <c r="A494" s="252" t="s">
        <v>2971</v>
      </c>
      <c r="B494" s="253" t="s">
        <v>2972</v>
      </c>
    </row>
    <row r="495" spans="1:2" x14ac:dyDescent="0.25">
      <c r="A495" s="252" t="s">
        <v>2973</v>
      </c>
      <c r="B495" s="253" t="s">
        <v>2974</v>
      </c>
    </row>
    <row r="496" spans="1:2" x14ac:dyDescent="0.25">
      <c r="A496" s="252" t="s">
        <v>2975</v>
      </c>
      <c r="B496" s="253" t="s">
        <v>2976</v>
      </c>
    </row>
    <row r="497" spans="1:2" x14ac:dyDescent="0.25">
      <c r="A497" s="252" t="s">
        <v>2977</v>
      </c>
      <c r="B497" s="253" t="s">
        <v>2978</v>
      </c>
    </row>
    <row r="498" spans="1:2" x14ac:dyDescent="0.25">
      <c r="A498" s="252" t="s">
        <v>2979</v>
      </c>
      <c r="B498" s="253" t="s">
        <v>2980</v>
      </c>
    </row>
    <row r="499" spans="1:2" x14ac:dyDescent="0.25">
      <c r="A499" s="252" t="s">
        <v>2981</v>
      </c>
      <c r="B499" s="253" t="s">
        <v>2982</v>
      </c>
    </row>
    <row r="500" spans="1:2" x14ac:dyDescent="0.25">
      <c r="A500" s="252" t="s">
        <v>2983</v>
      </c>
      <c r="B500" s="253" t="s">
        <v>2984</v>
      </c>
    </row>
    <row r="501" spans="1:2" x14ac:dyDescent="0.25">
      <c r="A501" s="252" t="s">
        <v>2985</v>
      </c>
      <c r="B501" s="253" t="s">
        <v>2986</v>
      </c>
    </row>
    <row r="502" spans="1:2" x14ac:dyDescent="0.25">
      <c r="A502" s="252" t="s">
        <v>2987</v>
      </c>
      <c r="B502" s="253" t="s">
        <v>2988</v>
      </c>
    </row>
    <row r="503" spans="1:2" x14ac:dyDescent="0.25">
      <c r="A503" s="252" t="s">
        <v>2989</v>
      </c>
      <c r="B503" s="253" t="s">
        <v>2990</v>
      </c>
    </row>
    <row r="504" spans="1:2" x14ac:dyDescent="0.25">
      <c r="A504" s="252" t="s">
        <v>2991</v>
      </c>
      <c r="B504" s="253" t="s">
        <v>2992</v>
      </c>
    </row>
    <row r="505" spans="1:2" x14ac:dyDescent="0.25">
      <c r="A505" s="252" t="s">
        <v>2993</v>
      </c>
      <c r="B505" s="253" t="s">
        <v>2994</v>
      </c>
    </row>
    <row r="506" spans="1:2" x14ac:dyDescent="0.25">
      <c r="A506" s="252" t="s">
        <v>2995</v>
      </c>
      <c r="B506" s="253" t="s">
        <v>2996</v>
      </c>
    </row>
    <row r="507" spans="1:2" x14ac:dyDescent="0.25">
      <c r="A507" s="252" t="s">
        <v>2997</v>
      </c>
      <c r="B507" s="253" t="s">
        <v>2998</v>
      </c>
    </row>
    <row r="508" spans="1:2" x14ac:dyDescent="0.25">
      <c r="A508" s="252" t="s">
        <v>2999</v>
      </c>
      <c r="B508" s="253" t="s">
        <v>3000</v>
      </c>
    </row>
    <row r="509" spans="1:2" x14ac:dyDescent="0.25">
      <c r="A509" s="252" t="s">
        <v>3001</v>
      </c>
      <c r="B509" s="253" t="s">
        <v>3002</v>
      </c>
    </row>
    <row r="510" spans="1:2" x14ac:dyDescent="0.25">
      <c r="A510" s="252" t="s">
        <v>3003</v>
      </c>
      <c r="B510" s="253" t="s">
        <v>3004</v>
      </c>
    </row>
    <row r="511" spans="1:2" x14ac:dyDescent="0.25">
      <c r="A511" s="252" t="s">
        <v>3005</v>
      </c>
      <c r="B511" s="253" t="s">
        <v>3006</v>
      </c>
    </row>
    <row r="512" spans="1:2" x14ac:dyDescent="0.25">
      <c r="A512" s="252" t="s">
        <v>3007</v>
      </c>
      <c r="B512" s="253" t="s">
        <v>3008</v>
      </c>
    </row>
    <row r="513" spans="1:2" x14ac:dyDescent="0.25">
      <c r="A513" s="252" t="s">
        <v>3009</v>
      </c>
      <c r="B513" s="253" t="s">
        <v>3010</v>
      </c>
    </row>
    <row r="514" spans="1:2" x14ac:dyDescent="0.25">
      <c r="A514" s="252" t="s">
        <v>3011</v>
      </c>
      <c r="B514" s="253" t="s">
        <v>3012</v>
      </c>
    </row>
    <row r="515" spans="1:2" x14ac:dyDescent="0.25">
      <c r="A515" s="252" t="s">
        <v>3013</v>
      </c>
      <c r="B515" s="253" t="s">
        <v>2475</v>
      </c>
    </row>
    <row r="516" spans="1:2" x14ac:dyDescent="0.25">
      <c r="A516" s="252" t="s">
        <v>3014</v>
      </c>
      <c r="B516" s="253" t="s">
        <v>3015</v>
      </c>
    </row>
    <row r="517" spans="1:2" x14ac:dyDescent="0.25">
      <c r="A517" s="252" t="s">
        <v>3016</v>
      </c>
      <c r="B517" s="253" t="s">
        <v>3017</v>
      </c>
    </row>
    <row r="518" spans="1:2" x14ac:dyDescent="0.25">
      <c r="A518" s="252" t="s">
        <v>3018</v>
      </c>
      <c r="B518" s="253" t="s">
        <v>3019</v>
      </c>
    </row>
    <row r="519" spans="1:2" x14ac:dyDescent="0.25">
      <c r="A519" s="252" t="s">
        <v>3020</v>
      </c>
      <c r="B519" s="253" t="s">
        <v>3021</v>
      </c>
    </row>
    <row r="520" spans="1:2" x14ac:dyDescent="0.25">
      <c r="A520" s="252" t="s">
        <v>3022</v>
      </c>
      <c r="B520" s="253" t="s">
        <v>3023</v>
      </c>
    </row>
    <row r="521" spans="1:2" x14ac:dyDescent="0.25">
      <c r="A521" s="252" t="s">
        <v>3024</v>
      </c>
      <c r="B521" s="253" t="s">
        <v>3025</v>
      </c>
    </row>
    <row r="522" spans="1:2" x14ac:dyDescent="0.25">
      <c r="A522" s="252" t="s">
        <v>3026</v>
      </c>
      <c r="B522" s="253" t="s">
        <v>3027</v>
      </c>
    </row>
    <row r="523" spans="1:2" x14ac:dyDescent="0.25">
      <c r="A523" s="252" t="s">
        <v>3028</v>
      </c>
      <c r="B523" s="253" t="s">
        <v>3029</v>
      </c>
    </row>
    <row r="524" spans="1:2" x14ac:dyDescent="0.25">
      <c r="A524" s="252" t="s">
        <v>3030</v>
      </c>
      <c r="B524" s="253" t="s">
        <v>3031</v>
      </c>
    </row>
    <row r="525" spans="1:2" x14ac:dyDescent="0.25">
      <c r="A525" s="252" t="s">
        <v>3032</v>
      </c>
      <c r="B525" s="253" t="s">
        <v>3033</v>
      </c>
    </row>
    <row r="526" spans="1:2" x14ac:dyDescent="0.25">
      <c r="A526" s="252" t="s">
        <v>3034</v>
      </c>
      <c r="B526" s="253" t="s">
        <v>3035</v>
      </c>
    </row>
    <row r="527" spans="1:2" x14ac:dyDescent="0.25">
      <c r="A527" s="252" t="s">
        <v>3036</v>
      </c>
      <c r="B527" s="253" t="s">
        <v>3037</v>
      </c>
    </row>
    <row r="528" spans="1:2" x14ac:dyDescent="0.25">
      <c r="A528" s="252" t="s">
        <v>3038</v>
      </c>
      <c r="B528" s="253" t="s">
        <v>3039</v>
      </c>
    </row>
    <row r="529" spans="1:2" x14ac:dyDescent="0.25">
      <c r="A529" s="252" t="s">
        <v>3040</v>
      </c>
      <c r="B529" s="253" t="s">
        <v>3041</v>
      </c>
    </row>
    <row r="530" spans="1:2" x14ac:dyDescent="0.25">
      <c r="A530" s="252" t="s">
        <v>3042</v>
      </c>
      <c r="B530" s="253" t="s">
        <v>3043</v>
      </c>
    </row>
    <row r="531" spans="1:2" x14ac:dyDescent="0.25">
      <c r="A531" s="252" t="s">
        <v>3044</v>
      </c>
      <c r="B531" s="253" t="s">
        <v>3045</v>
      </c>
    </row>
    <row r="532" spans="1:2" x14ac:dyDescent="0.25">
      <c r="A532" s="252" t="s">
        <v>3046</v>
      </c>
      <c r="B532" s="253" t="s">
        <v>3047</v>
      </c>
    </row>
    <row r="533" spans="1:2" x14ac:dyDescent="0.25">
      <c r="A533" s="252" t="s">
        <v>3048</v>
      </c>
      <c r="B533" s="253" t="s">
        <v>3049</v>
      </c>
    </row>
    <row r="534" spans="1:2" x14ac:dyDescent="0.25">
      <c r="A534" s="252" t="s">
        <v>3050</v>
      </c>
      <c r="B534" s="253" t="s">
        <v>3051</v>
      </c>
    </row>
    <row r="535" spans="1:2" x14ac:dyDescent="0.25">
      <c r="A535" s="252" t="s">
        <v>3052</v>
      </c>
      <c r="B535" s="253" t="s">
        <v>3053</v>
      </c>
    </row>
    <row r="536" spans="1:2" x14ac:dyDescent="0.25">
      <c r="A536" s="252" t="s">
        <v>3054</v>
      </c>
      <c r="B536" s="253" t="s">
        <v>3055</v>
      </c>
    </row>
    <row r="537" spans="1:2" x14ac:dyDescent="0.25">
      <c r="A537" s="252" t="s">
        <v>3056</v>
      </c>
      <c r="B537" s="253" t="s">
        <v>3057</v>
      </c>
    </row>
    <row r="538" spans="1:2" x14ac:dyDescent="0.25">
      <c r="A538" s="252" t="s">
        <v>3058</v>
      </c>
      <c r="B538" s="253" t="s">
        <v>2223</v>
      </c>
    </row>
    <row r="539" spans="1:2" x14ac:dyDescent="0.25">
      <c r="A539" s="252" t="s">
        <v>3059</v>
      </c>
      <c r="B539" s="253" t="s">
        <v>2229</v>
      </c>
    </row>
    <row r="540" spans="1:2" x14ac:dyDescent="0.25">
      <c r="A540" s="252" t="s">
        <v>3060</v>
      </c>
      <c r="B540" s="253" t="s">
        <v>2231</v>
      </c>
    </row>
    <row r="541" spans="1:2" x14ac:dyDescent="0.25">
      <c r="A541" s="252" t="s">
        <v>3061</v>
      </c>
      <c r="B541" s="253" t="s">
        <v>3062</v>
      </c>
    </row>
    <row r="542" spans="1:2" x14ac:dyDescent="0.25">
      <c r="A542" s="252" t="s">
        <v>3063</v>
      </c>
      <c r="B542" s="253" t="s">
        <v>3064</v>
      </c>
    </row>
    <row r="543" spans="1:2" x14ac:dyDescent="0.25">
      <c r="A543" s="252" t="s">
        <v>3065</v>
      </c>
      <c r="B543" s="253" t="s">
        <v>3066</v>
      </c>
    </row>
    <row r="544" spans="1:2" x14ac:dyDescent="0.25">
      <c r="A544" s="252" t="s">
        <v>3067</v>
      </c>
      <c r="B544" s="253" t="s">
        <v>3068</v>
      </c>
    </row>
    <row r="545" spans="1:2" x14ac:dyDescent="0.25">
      <c r="A545" s="252" t="s">
        <v>3069</v>
      </c>
      <c r="B545" s="253" t="s">
        <v>3070</v>
      </c>
    </row>
    <row r="546" spans="1:2" x14ac:dyDescent="0.25">
      <c r="A546" s="252" t="s">
        <v>3071</v>
      </c>
      <c r="B546" s="253" t="s">
        <v>3072</v>
      </c>
    </row>
    <row r="547" spans="1:2" x14ac:dyDescent="0.25">
      <c r="A547" s="252" t="s">
        <v>3073</v>
      </c>
      <c r="B547" s="253" t="s">
        <v>3074</v>
      </c>
    </row>
    <row r="548" spans="1:2" x14ac:dyDescent="0.25">
      <c r="A548" s="252" t="s">
        <v>3075</v>
      </c>
      <c r="B548" s="253" t="s">
        <v>3076</v>
      </c>
    </row>
    <row r="549" spans="1:2" x14ac:dyDescent="0.25">
      <c r="A549" s="252" t="s">
        <v>3077</v>
      </c>
      <c r="B549" s="253" t="s">
        <v>3078</v>
      </c>
    </row>
    <row r="550" spans="1:2" x14ac:dyDescent="0.25">
      <c r="A550" s="252" t="s">
        <v>3079</v>
      </c>
      <c r="B550" s="253" t="s">
        <v>3080</v>
      </c>
    </row>
    <row r="551" spans="1:2" x14ac:dyDescent="0.25">
      <c r="A551" s="252" t="s">
        <v>3081</v>
      </c>
      <c r="B551" s="253" t="s">
        <v>3082</v>
      </c>
    </row>
    <row r="552" spans="1:2" x14ac:dyDescent="0.25">
      <c r="A552" s="252" t="s">
        <v>3083</v>
      </c>
      <c r="B552" s="253" t="s">
        <v>3084</v>
      </c>
    </row>
    <row r="553" spans="1:2" x14ac:dyDescent="0.25">
      <c r="A553" s="252" t="s">
        <v>3085</v>
      </c>
      <c r="B553" s="253" t="s">
        <v>3086</v>
      </c>
    </row>
    <row r="554" spans="1:2" x14ac:dyDescent="0.25">
      <c r="A554" s="252" t="s">
        <v>3087</v>
      </c>
      <c r="B554" s="253" t="s">
        <v>3088</v>
      </c>
    </row>
    <row r="555" spans="1:2" x14ac:dyDescent="0.25">
      <c r="A555" s="252" t="s">
        <v>3089</v>
      </c>
      <c r="B555" s="253" t="s">
        <v>3090</v>
      </c>
    </row>
    <row r="556" spans="1:2" x14ac:dyDescent="0.25">
      <c r="A556" s="252" t="s">
        <v>3091</v>
      </c>
      <c r="B556" s="253" t="s">
        <v>3092</v>
      </c>
    </row>
    <row r="557" spans="1:2" x14ac:dyDescent="0.25">
      <c r="A557" s="252" t="s">
        <v>3093</v>
      </c>
      <c r="B557" s="253" t="s">
        <v>3094</v>
      </c>
    </row>
    <row r="558" spans="1:2" x14ac:dyDescent="0.25">
      <c r="A558" s="252" t="s">
        <v>3095</v>
      </c>
      <c r="B558" s="253" t="s">
        <v>3096</v>
      </c>
    </row>
    <row r="559" spans="1:2" x14ac:dyDescent="0.25">
      <c r="A559" s="252" t="s">
        <v>3097</v>
      </c>
      <c r="B559" s="253" t="s">
        <v>3098</v>
      </c>
    </row>
    <row r="560" spans="1:2" x14ac:dyDescent="0.25">
      <c r="A560" s="252" t="s">
        <v>3099</v>
      </c>
      <c r="B560" s="253" t="s">
        <v>3100</v>
      </c>
    </row>
    <row r="561" spans="1:2" x14ac:dyDescent="0.25">
      <c r="A561" s="252" t="s">
        <v>3101</v>
      </c>
      <c r="B561" s="253" t="s">
        <v>3102</v>
      </c>
    </row>
    <row r="562" spans="1:2" x14ac:dyDescent="0.25">
      <c r="A562" s="252" t="s">
        <v>3103</v>
      </c>
      <c r="B562" s="253" t="s">
        <v>3104</v>
      </c>
    </row>
    <row r="563" spans="1:2" x14ac:dyDescent="0.25">
      <c r="A563" s="252" t="s">
        <v>3105</v>
      </c>
      <c r="B563" s="253" t="s">
        <v>3106</v>
      </c>
    </row>
    <row r="564" spans="1:2" x14ac:dyDescent="0.25">
      <c r="A564" s="252" t="s">
        <v>3107</v>
      </c>
      <c r="B564" s="253" t="s">
        <v>3108</v>
      </c>
    </row>
    <row r="565" spans="1:2" x14ac:dyDescent="0.25">
      <c r="A565" s="252" t="s">
        <v>3109</v>
      </c>
      <c r="B565" s="253" t="s">
        <v>3110</v>
      </c>
    </row>
    <row r="566" spans="1:2" x14ac:dyDescent="0.25">
      <c r="A566" s="252" t="s">
        <v>3111</v>
      </c>
      <c r="B566" s="253" t="s">
        <v>3112</v>
      </c>
    </row>
    <row r="567" spans="1:2" x14ac:dyDescent="0.25">
      <c r="A567" s="252" t="s">
        <v>3113</v>
      </c>
      <c r="B567" s="253" t="s">
        <v>3114</v>
      </c>
    </row>
    <row r="568" spans="1:2" x14ac:dyDescent="0.25">
      <c r="A568" s="252" t="s">
        <v>3115</v>
      </c>
      <c r="B568" s="253" t="s">
        <v>3116</v>
      </c>
    </row>
    <row r="569" spans="1:2" x14ac:dyDescent="0.25">
      <c r="A569" s="252" t="s">
        <v>3117</v>
      </c>
      <c r="B569" s="253" t="s">
        <v>3118</v>
      </c>
    </row>
    <row r="570" spans="1:2" x14ac:dyDescent="0.25">
      <c r="A570" s="252" t="s">
        <v>3119</v>
      </c>
      <c r="B570" s="253" t="s">
        <v>3120</v>
      </c>
    </row>
    <row r="571" spans="1:2" x14ac:dyDescent="0.25">
      <c r="A571" s="252" t="s">
        <v>3121</v>
      </c>
      <c r="B571" s="253" t="s">
        <v>3122</v>
      </c>
    </row>
    <row r="572" spans="1:2" x14ac:dyDescent="0.25">
      <c r="A572" s="252" t="s">
        <v>3123</v>
      </c>
      <c r="B572" s="253" t="s">
        <v>3124</v>
      </c>
    </row>
    <row r="573" spans="1:2" x14ac:dyDescent="0.25">
      <c r="A573" s="252" t="s">
        <v>3125</v>
      </c>
      <c r="B573" s="253" t="s">
        <v>3126</v>
      </c>
    </row>
    <row r="574" spans="1:2" x14ac:dyDescent="0.25">
      <c r="A574" s="252" t="s">
        <v>3127</v>
      </c>
      <c r="B574" s="253" t="s">
        <v>3128</v>
      </c>
    </row>
    <row r="575" spans="1:2" x14ac:dyDescent="0.25">
      <c r="A575" s="252" t="s">
        <v>3129</v>
      </c>
      <c r="B575" s="253" t="s">
        <v>3130</v>
      </c>
    </row>
    <row r="576" spans="1:2" x14ac:dyDescent="0.25">
      <c r="A576" s="252" t="s">
        <v>3131</v>
      </c>
      <c r="B576" s="253" t="s">
        <v>3132</v>
      </c>
    </row>
    <row r="577" spans="1:2" x14ac:dyDescent="0.25">
      <c r="A577" s="256" t="s">
        <v>342</v>
      </c>
      <c r="B577" s="253" t="s">
        <v>3133</v>
      </c>
    </row>
    <row r="578" spans="1:2" x14ac:dyDescent="0.25">
      <c r="A578" s="256" t="s">
        <v>3134</v>
      </c>
      <c r="B578" s="253" t="s">
        <v>3135</v>
      </c>
    </row>
    <row r="579" spans="1:2" x14ac:dyDescent="0.25">
      <c r="A579" s="256" t="s">
        <v>3136</v>
      </c>
      <c r="B579" s="253" t="s">
        <v>3137</v>
      </c>
    </row>
    <row r="580" spans="1:2" x14ac:dyDescent="0.25">
      <c r="A580" s="256" t="s">
        <v>3138</v>
      </c>
      <c r="B580" s="253" t="s">
        <v>3139</v>
      </c>
    </row>
    <row r="581" spans="1:2" x14ac:dyDescent="0.25">
      <c r="A581" s="256" t="s">
        <v>3140</v>
      </c>
      <c r="B581" s="253" t="s">
        <v>3141</v>
      </c>
    </row>
    <row r="582" spans="1:2" x14ac:dyDescent="0.25">
      <c r="A582" s="256" t="s">
        <v>3142</v>
      </c>
      <c r="B582" s="253" t="s">
        <v>3143</v>
      </c>
    </row>
    <row r="583" spans="1:2" x14ac:dyDescent="0.25">
      <c r="A583" s="256" t="s">
        <v>3144</v>
      </c>
      <c r="B583" s="253" t="s">
        <v>3145</v>
      </c>
    </row>
    <row r="584" spans="1:2" x14ac:dyDescent="0.25">
      <c r="A584" s="256" t="s">
        <v>3146</v>
      </c>
      <c r="B584" s="253" t="s">
        <v>3147</v>
      </c>
    </row>
    <row r="585" spans="1:2" x14ac:dyDescent="0.25">
      <c r="A585" s="256" t="s">
        <v>3148</v>
      </c>
      <c r="B585" s="253" t="s">
        <v>3149</v>
      </c>
    </row>
    <row r="586" spans="1:2" x14ac:dyDescent="0.25">
      <c r="A586" s="256" t="s">
        <v>3150</v>
      </c>
      <c r="B586" s="253" t="s">
        <v>3151</v>
      </c>
    </row>
    <row r="587" spans="1:2" x14ac:dyDescent="0.25">
      <c r="A587" s="256" t="s">
        <v>3152</v>
      </c>
      <c r="B587" s="253" t="s">
        <v>3153</v>
      </c>
    </row>
    <row r="588" spans="1:2" x14ac:dyDescent="0.25">
      <c r="A588" s="256" t="s">
        <v>3154</v>
      </c>
      <c r="B588" s="253" t="s">
        <v>3155</v>
      </c>
    </row>
    <row r="589" spans="1:2" x14ac:dyDescent="0.25">
      <c r="A589" s="256" t="s">
        <v>3156</v>
      </c>
      <c r="B589" s="253" t="s">
        <v>3157</v>
      </c>
    </row>
    <row r="590" spans="1:2" x14ac:dyDescent="0.25">
      <c r="A590" s="256" t="s">
        <v>3158</v>
      </c>
      <c r="B590" s="253" t="s">
        <v>3159</v>
      </c>
    </row>
    <row r="591" spans="1:2" x14ac:dyDescent="0.25">
      <c r="A591" s="256" t="s">
        <v>3160</v>
      </c>
      <c r="B591" s="255" t="s">
        <v>3161</v>
      </c>
    </row>
    <row r="592" spans="1:2" x14ac:dyDescent="0.25">
      <c r="A592" s="256" t="s">
        <v>3162</v>
      </c>
      <c r="B592" s="255" t="s">
        <v>3163</v>
      </c>
    </row>
    <row r="593" spans="1:2" x14ac:dyDescent="0.25">
      <c r="A593" s="256" t="s">
        <v>3164</v>
      </c>
      <c r="B593" s="253" t="s">
        <v>3165</v>
      </c>
    </row>
    <row r="594" spans="1:2" x14ac:dyDescent="0.25">
      <c r="A594" s="256" t="s">
        <v>3166</v>
      </c>
      <c r="B594" s="253" t="s">
        <v>3167</v>
      </c>
    </row>
    <row r="595" spans="1:2" x14ac:dyDescent="0.25">
      <c r="A595" s="256" t="s">
        <v>3168</v>
      </c>
      <c r="B595" s="253" t="s">
        <v>3169</v>
      </c>
    </row>
    <row r="596" spans="1:2" x14ac:dyDescent="0.25">
      <c r="A596" s="256" t="s">
        <v>3170</v>
      </c>
      <c r="B596" s="253" t="s">
        <v>3171</v>
      </c>
    </row>
    <row r="597" spans="1:2" x14ac:dyDescent="0.25">
      <c r="A597" s="256" t="s">
        <v>3172</v>
      </c>
      <c r="B597" s="253" t="s">
        <v>3173</v>
      </c>
    </row>
    <row r="598" spans="1:2" x14ac:dyDescent="0.25">
      <c r="A598" s="256" t="s">
        <v>3174</v>
      </c>
      <c r="B598" s="253" t="s">
        <v>3175</v>
      </c>
    </row>
    <row r="599" spans="1:2" x14ac:dyDescent="0.25">
      <c r="A599" s="256" t="s">
        <v>3176</v>
      </c>
      <c r="B599" s="253" t="s">
        <v>3177</v>
      </c>
    </row>
    <row r="600" spans="1:2" x14ac:dyDescent="0.25">
      <c r="A600" s="256" t="s">
        <v>3178</v>
      </c>
      <c r="B600" s="253" t="s">
        <v>3179</v>
      </c>
    </row>
    <row r="601" spans="1:2" x14ac:dyDescent="0.25">
      <c r="A601" s="256" t="s">
        <v>3180</v>
      </c>
      <c r="B601" s="27" t="s">
        <v>3181</v>
      </c>
    </row>
    <row r="602" spans="1:2" x14ac:dyDescent="0.25">
      <c r="A602" s="256" t="s">
        <v>3182</v>
      </c>
      <c r="B602" s="27" t="s">
        <v>3183</v>
      </c>
    </row>
    <row r="603" spans="1:2" x14ac:dyDescent="0.25">
      <c r="A603" s="256" t="s">
        <v>3184</v>
      </c>
      <c r="B603" s="27" t="s">
        <v>3185</v>
      </c>
    </row>
    <row r="604" spans="1:2" x14ac:dyDescent="0.25">
      <c r="A604" s="256" t="s">
        <v>3186</v>
      </c>
      <c r="B604" s="27" t="s">
        <v>3187</v>
      </c>
    </row>
    <row r="605" spans="1:2" x14ac:dyDescent="0.25">
      <c r="A605" s="256" t="s">
        <v>3188</v>
      </c>
      <c r="B605" s="27" t="s">
        <v>3189</v>
      </c>
    </row>
    <row r="606" spans="1:2" x14ac:dyDescent="0.25">
      <c r="A606" s="256" t="s">
        <v>3190</v>
      </c>
      <c r="B606" s="27" t="s">
        <v>3191</v>
      </c>
    </row>
    <row r="607" spans="1:2" x14ac:dyDescent="0.25">
      <c r="A607" s="256" t="s">
        <v>3192</v>
      </c>
      <c r="B607" s="27" t="s">
        <v>3193</v>
      </c>
    </row>
    <row r="608" spans="1:2" x14ac:dyDescent="0.25">
      <c r="A608" s="256" t="s">
        <v>3194</v>
      </c>
      <c r="B608" s="253" t="s">
        <v>3195</v>
      </c>
    </row>
    <row r="609" spans="1:2" x14ac:dyDescent="0.25">
      <c r="A609" s="256" t="s">
        <v>3196</v>
      </c>
      <c r="B609" s="27" t="s">
        <v>3197</v>
      </c>
    </row>
    <row r="610" spans="1:2" x14ac:dyDescent="0.25">
      <c r="A610" s="256" t="s">
        <v>3198</v>
      </c>
      <c r="B610" s="253" t="s">
        <v>3199</v>
      </c>
    </row>
    <row r="611" spans="1:2" x14ac:dyDescent="0.25">
      <c r="A611" s="256" t="s">
        <v>3200</v>
      </c>
      <c r="B611" s="253" t="s">
        <v>3201</v>
      </c>
    </row>
    <row r="612" spans="1:2" x14ac:dyDescent="0.25">
      <c r="A612" s="256" t="s">
        <v>541</v>
      </c>
      <c r="B612" s="253" t="s">
        <v>3202</v>
      </c>
    </row>
    <row r="613" spans="1:2" x14ac:dyDescent="0.25">
      <c r="A613" s="256" t="s">
        <v>3203</v>
      </c>
      <c r="B613" s="253" t="s">
        <v>3204</v>
      </c>
    </row>
    <row r="614" spans="1:2" x14ac:dyDescent="0.25">
      <c r="A614" s="256" t="s">
        <v>3205</v>
      </c>
      <c r="B614" s="253" t="s">
        <v>3206</v>
      </c>
    </row>
    <row r="615" spans="1:2" x14ac:dyDescent="0.25">
      <c r="A615" s="256" t="s">
        <v>3207</v>
      </c>
      <c r="B615" s="253" t="s">
        <v>3208</v>
      </c>
    </row>
    <row r="616" spans="1:2" x14ac:dyDescent="0.25">
      <c r="A616" s="256" t="s">
        <v>3209</v>
      </c>
      <c r="B616" s="253" t="s">
        <v>3210</v>
      </c>
    </row>
    <row r="617" spans="1:2" x14ac:dyDescent="0.25">
      <c r="A617" s="256" t="s">
        <v>3211</v>
      </c>
      <c r="B617" s="253" t="s">
        <v>3212</v>
      </c>
    </row>
    <row r="618" spans="1:2" x14ac:dyDescent="0.25">
      <c r="A618" s="256" t="s">
        <v>3213</v>
      </c>
      <c r="B618" s="253" t="s">
        <v>3214</v>
      </c>
    </row>
    <row r="619" spans="1:2" x14ac:dyDescent="0.25">
      <c r="A619" s="256" t="s">
        <v>3215</v>
      </c>
      <c r="B619" s="253" t="s">
        <v>3216</v>
      </c>
    </row>
    <row r="620" spans="1:2" x14ac:dyDescent="0.25">
      <c r="A620" s="256" t="s">
        <v>3217</v>
      </c>
      <c r="B620" s="253" t="s">
        <v>3218</v>
      </c>
    </row>
    <row r="621" spans="1:2" x14ac:dyDescent="0.25">
      <c r="A621" s="256" t="s">
        <v>3219</v>
      </c>
      <c r="B621" s="253" t="s">
        <v>3220</v>
      </c>
    </row>
    <row r="622" spans="1:2" x14ac:dyDescent="0.25">
      <c r="A622" s="256" t="s">
        <v>3221</v>
      </c>
      <c r="B622" s="253" t="s">
        <v>3222</v>
      </c>
    </row>
    <row r="623" spans="1:2" x14ac:dyDescent="0.25">
      <c r="A623" s="256" t="s">
        <v>3223</v>
      </c>
      <c r="B623" s="253" t="s">
        <v>3224</v>
      </c>
    </row>
    <row r="624" spans="1:2" x14ac:dyDescent="0.25">
      <c r="A624" s="256" t="s">
        <v>3225</v>
      </c>
      <c r="B624" s="253" t="s">
        <v>3226</v>
      </c>
    </row>
    <row r="625" spans="1:2" x14ac:dyDescent="0.25">
      <c r="A625" s="256" t="s">
        <v>3227</v>
      </c>
      <c r="B625" s="253" t="s">
        <v>3228</v>
      </c>
    </row>
    <row r="626" spans="1:2" x14ac:dyDescent="0.25">
      <c r="A626" s="256" t="s">
        <v>3229</v>
      </c>
      <c r="B626" s="255" t="s">
        <v>3230</v>
      </c>
    </row>
    <row r="627" spans="1:2" x14ac:dyDescent="0.25">
      <c r="A627" s="252" t="s">
        <v>3231</v>
      </c>
      <c r="B627" s="253" t="s">
        <v>3232</v>
      </c>
    </row>
    <row r="628" spans="1:2" x14ac:dyDescent="0.25">
      <c r="A628" s="252" t="s">
        <v>3233</v>
      </c>
      <c r="B628" s="253" t="s">
        <v>3234</v>
      </c>
    </row>
    <row r="629" spans="1:2" x14ac:dyDescent="0.25">
      <c r="A629" s="252" t="s">
        <v>3235</v>
      </c>
      <c r="B629" s="253" t="s">
        <v>3236</v>
      </c>
    </row>
    <row r="630" spans="1:2" x14ac:dyDescent="0.25">
      <c r="A630" s="252" t="s">
        <v>3237</v>
      </c>
      <c r="B630" s="253" t="s">
        <v>3238</v>
      </c>
    </row>
    <row r="631" spans="1:2" x14ac:dyDescent="0.25">
      <c r="A631" s="252" t="s">
        <v>3239</v>
      </c>
      <c r="B631" s="253" t="s">
        <v>3240</v>
      </c>
    </row>
    <row r="632" spans="1:2" x14ac:dyDescent="0.25">
      <c r="A632" s="252" t="s">
        <v>3241</v>
      </c>
      <c r="B632" s="253" t="s">
        <v>3242</v>
      </c>
    </row>
    <row r="633" spans="1:2" x14ac:dyDescent="0.25">
      <c r="A633" s="252" t="s">
        <v>3243</v>
      </c>
      <c r="B633" s="253" t="s">
        <v>3244</v>
      </c>
    </row>
    <row r="634" spans="1:2" x14ac:dyDescent="0.25">
      <c r="A634" s="252" t="s">
        <v>3245</v>
      </c>
      <c r="B634" s="253" t="s">
        <v>3246</v>
      </c>
    </row>
    <row r="635" spans="1:2" x14ac:dyDescent="0.25">
      <c r="A635" s="252" t="s">
        <v>3247</v>
      </c>
      <c r="B635" s="253" t="s">
        <v>3248</v>
      </c>
    </row>
    <row r="636" spans="1:2" x14ac:dyDescent="0.25">
      <c r="A636" s="252" t="s">
        <v>3249</v>
      </c>
      <c r="B636" s="253" t="s">
        <v>3250</v>
      </c>
    </row>
    <row r="637" spans="1:2" x14ac:dyDescent="0.25">
      <c r="A637" s="252" t="s">
        <v>3251</v>
      </c>
      <c r="B637" s="253" t="s">
        <v>3252</v>
      </c>
    </row>
    <row r="638" spans="1:2" x14ac:dyDescent="0.25">
      <c r="A638" s="252" t="s">
        <v>132</v>
      </c>
      <c r="B638" s="253" t="s">
        <v>3253</v>
      </c>
    </row>
    <row r="639" spans="1:2" x14ac:dyDescent="0.25">
      <c r="A639" s="252" t="s">
        <v>3254</v>
      </c>
      <c r="B639" s="253" t="s">
        <v>3255</v>
      </c>
    </row>
    <row r="640" spans="1:2" x14ac:dyDescent="0.25">
      <c r="A640" s="252" t="s">
        <v>3256</v>
      </c>
      <c r="B640" s="253" t="s">
        <v>3257</v>
      </c>
    </row>
    <row r="641" spans="1:2" x14ac:dyDescent="0.25">
      <c r="A641" s="252" t="s">
        <v>3258</v>
      </c>
      <c r="B641" s="253" t="s">
        <v>3259</v>
      </c>
    </row>
    <row r="642" spans="1:2" x14ac:dyDescent="0.25">
      <c r="A642" s="252" t="s">
        <v>3260</v>
      </c>
      <c r="B642" s="253" t="s">
        <v>3261</v>
      </c>
    </row>
    <row r="643" spans="1:2" x14ac:dyDescent="0.25">
      <c r="A643" s="252" t="s">
        <v>3262</v>
      </c>
      <c r="B643" s="253" t="s">
        <v>3263</v>
      </c>
    </row>
    <row r="644" spans="1:2" x14ac:dyDescent="0.25">
      <c r="A644" s="252" t="s">
        <v>3264</v>
      </c>
      <c r="B644" s="253" t="s">
        <v>3265</v>
      </c>
    </row>
    <row r="645" spans="1:2" x14ac:dyDescent="0.25">
      <c r="A645" s="252" t="s">
        <v>3266</v>
      </c>
      <c r="B645" s="253" t="s">
        <v>3267</v>
      </c>
    </row>
    <row r="646" spans="1:2" x14ac:dyDescent="0.25">
      <c r="A646" s="252" t="s">
        <v>3268</v>
      </c>
      <c r="B646" s="253" t="s">
        <v>3269</v>
      </c>
    </row>
    <row r="647" spans="1:2" x14ac:dyDescent="0.25">
      <c r="A647" s="252" t="s">
        <v>3270</v>
      </c>
      <c r="B647" s="253" t="s">
        <v>3271</v>
      </c>
    </row>
    <row r="648" spans="1:2" x14ac:dyDescent="0.25">
      <c r="A648" s="252" t="s">
        <v>3272</v>
      </c>
      <c r="B648" s="253" t="s">
        <v>3273</v>
      </c>
    </row>
    <row r="649" spans="1:2" x14ac:dyDescent="0.25">
      <c r="A649" s="252" t="s">
        <v>3274</v>
      </c>
      <c r="B649" s="253" t="s">
        <v>3275</v>
      </c>
    </row>
    <row r="650" spans="1:2" x14ac:dyDescent="0.25">
      <c r="A650" s="252" t="s">
        <v>436</v>
      </c>
      <c r="B650" s="253" t="s">
        <v>3276</v>
      </c>
    </row>
    <row r="651" spans="1:2" x14ac:dyDescent="0.25">
      <c r="A651" s="252" t="s">
        <v>3277</v>
      </c>
      <c r="B651" s="253" t="s">
        <v>3278</v>
      </c>
    </row>
    <row r="652" spans="1:2" x14ac:dyDescent="0.25">
      <c r="A652" s="252" t="s">
        <v>3279</v>
      </c>
      <c r="B652" s="253" t="s">
        <v>3280</v>
      </c>
    </row>
    <row r="653" spans="1:2" x14ac:dyDescent="0.25">
      <c r="A653" s="252" t="s">
        <v>3281</v>
      </c>
      <c r="B653" s="253" t="s">
        <v>3282</v>
      </c>
    </row>
    <row r="654" spans="1:2" x14ac:dyDescent="0.25">
      <c r="A654" s="252" t="s">
        <v>3283</v>
      </c>
      <c r="B654" s="253" t="s">
        <v>3284</v>
      </c>
    </row>
    <row r="655" spans="1:2" x14ac:dyDescent="0.25">
      <c r="A655" s="252" t="s">
        <v>3285</v>
      </c>
      <c r="B655" s="253" t="s">
        <v>3286</v>
      </c>
    </row>
    <row r="656" spans="1:2" x14ac:dyDescent="0.25">
      <c r="A656" s="252" t="s">
        <v>3287</v>
      </c>
      <c r="B656" s="253" t="s">
        <v>3288</v>
      </c>
    </row>
    <row r="657" spans="1:2" x14ac:dyDescent="0.25">
      <c r="A657" s="252" t="s">
        <v>3289</v>
      </c>
      <c r="B657" s="253" t="s">
        <v>3290</v>
      </c>
    </row>
    <row r="658" spans="1:2" x14ac:dyDescent="0.25">
      <c r="A658" s="252" t="s">
        <v>3291</v>
      </c>
      <c r="B658" s="253" t="s">
        <v>3292</v>
      </c>
    </row>
    <row r="659" spans="1:2" x14ac:dyDescent="0.25">
      <c r="A659" s="252" t="s">
        <v>473</v>
      </c>
      <c r="B659" s="253" t="s">
        <v>3293</v>
      </c>
    </row>
    <row r="660" spans="1:2" x14ac:dyDescent="0.25">
      <c r="A660" s="252" t="s">
        <v>3294</v>
      </c>
      <c r="B660" s="253" t="s">
        <v>3295</v>
      </c>
    </row>
    <row r="661" spans="1:2" x14ac:dyDescent="0.25">
      <c r="A661" s="252" t="s">
        <v>3296</v>
      </c>
      <c r="B661" s="253" t="s">
        <v>3297</v>
      </c>
    </row>
    <row r="662" spans="1:2" x14ac:dyDescent="0.25">
      <c r="A662" s="252" t="s">
        <v>3298</v>
      </c>
      <c r="B662" s="253" t="s">
        <v>3299</v>
      </c>
    </row>
    <row r="663" spans="1:2" x14ac:dyDescent="0.25">
      <c r="A663" s="252" t="s">
        <v>231</v>
      </c>
      <c r="B663" s="253" t="s">
        <v>3300</v>
      </c>
    </row>
    <row r="664" spans="1:2" x14ac:dyDescent="0.25">
      <c r="A664" s="252">
        <v>2537</v>
      </c>
      <c r="B664" s="253" t="s">
        <v>3301</v>
      </c>
    </row>
    <row r="665" spans="1:2" x14ac:dyDescent="0.25">
      <c r="A665" s="252" t="s">
        <v>3302</v>
      </c>
      <c r="B665" s="253" t="s">
        <v>3303</v>
      </c>
    </row>
    <row r="666" spans="1:2" x14ac:dyDescent="0.25">
      <c r="A666" s="252" t="s">
        <v>3304</v>
      </c>
      <c r="B666" s="253" t="s">
        <v>3305</v>
      </c>
    </row>
    <row r="667" spans="1:2" x14ac:dyDescent="0.25">
      <c r="A667" s="252" t="s">
        <v>3306</v>
      </c>
      <c r="B667" s="253" t="s">
        <v>3307</v>
      </c>
    </row>
    <row r="668" spans="1:2" x14ac:dyDescent="0.25">
      <c r="A668" s="252" t="s">
        <v>1009</v>
      </c>
      <c r="B668" s="253" t="s">
        <v>3308</v>
      </c>
    </row>
    <row r="669" spans="1:2" x14ac:dyDescent="0.25">
      <c r="A669" s="252" t="s">
        <v>1011</v>
      </c>
      <c r="B669" s="253" t="s">
        <v>3309</v>
      </c>
    </row>
    <row r="670" spans="1:2" x14ac:dyDescent="0.25">
      <c r="A670" s="252" t="s">
        <v>3310</v>
      </c>
      <c r="B670" s="253" t="s">
        <v>3311</v>
      </c>
    </row>
    <row r="671" spans="1:2" x14ac:dyDescent="0.25">
      <c r="A671" s="252" t="s">
        <v>3312</v>
      </c>
      <c r="B671" s="253" t="s">
        <v>3313</v>
      </c>
    </row>
    <row r="672" spans="1:2" x14ac:dyDescent="0.25">
      <c r="A672" s="252" t="s">
        <v>3314</v>
      </c>
      <c r="B672" s="253" t="s">
        <v>3315</v>
      </c>
    </row>
    <row r="673" spans="1:2" x14ac:dyDescent="0.25">
      <c r="A673" s="252" t="s">
        <v>3316</v>
      </c>
      <c r="B673" s="253" t="s">
        <v>3317</v>
      </c>
    </row>
    <row r="674" spans="1:2" x14ac:dyDescent="0.25">
      <c r="A674" s="252" t="s">
        <v>3318</v>
      </c>
      <c r="B674" s="253" t="s">
        <v>3319</v>
      </c>
    </row>
    <row r="675" spans="1:2" x14ac:dyDescent="0.25">
      <c r="A675" s="252" t="s">
        <v>3320</v>
      </c>
      <c r="B675" s="253" t="s">
        <v>3321</v>
      </c>
    </row>
    <row r="676" spans="1:2" x14ac:dyDescent="0.25">
      <c r="A676" s="252" t="s">
        <v>3322</v>
      </c>
      <c r="B676" s="253" t="s">
        <v>3323</v>
      </c>
    </row>
    <row r="677" spans="1:2" x14ac:dyDescent="0.25">
      <c r="A677" s="252" t="s">
        <v>3324</v>
      </c>
      <c r="B677" s="253" t="s">
        <v>3325</v>
      </c>
    </row>
    <row r="678" spans="1:2" x14ac:dyDescent="0.25">
      <c r="A678" s="252" t="s">
        <v>3326</v>
      </c>
      <c r="B678" s="253" t="s">
        <v>3327</v>
      </c>
    </row>
    <row r="679" spans="1:2" x14ac:dyDescent="0.25">
      <c r="A679" s="252" t="s">
        <v>313</v>
      </c>
      <c r="B679" s="253" t="s">
        <v>3328</v>
      </c>
    </row>
    <row r="680" spans="1:2" x14ac:dyDescent="0.25">
      <c r="A680" s="252" t="s">
        <v>3329</v>
      </c>
      <c r="B680" s="253" t="s">
        <v>3330</v>
      </c>
    </row>
    <row r="681" spans="1:2" x14ac:dyDescent="0.25">
      <c r="A681" s="252" t="s">
        <v>288</v>
      </c>
      <c r="B681" s="253" t="s">
        <v>3331</v>
      </c>
    </row>
    <row r="682" spans="1:2" x14ac:dyDescent="0.25">
      <c r="A682" s="252" t="s">
        <v>286</v>
      </c>
      <c r="B682" s="253" t="s">
        <v>3332</v>
      </c>
    </row>
    <row r="683" spans="1:2" x14ac:dyDescent="0.25">
      <c r="A683" s="252" t="s">
        <v>3333</v>
      </c>
      <c r="B683" s="253" t="s">
        <v>3334</v>
      </c>
    </row>
    <row r="684" spans="1:2" x14ac:dyDescent="0.25">
      <c r="A684" s="252" t="s">
        <v>3335</v>
      </c>
      <c r="B684" s="253" t="s">
        <v>3336</v>
      </c>
    </row>
    <row r="685" spans="1:2" x14ac:dyDescent="0.25">
      <c r="A685" s="252" t="s">
        <v>546</v>
      </c>
      <c r="B685" s="253" t="s">
        <v>3337</v>
      </c>
    </row>
    <row r="686" spans="1:2" x14ac:dyDescent="0.25">
      <c r="A686" s="252" t="s">
        <v>3338</v>
      </c>
      <c r="B686" s="253" t="s">
        <v>3339</v>
      </c>
    </row>
    <row r="687" spans="1:2" x14ac:dyDescent="0.25">
      <c r="A687" s="252" t="s">
        <v>556</v>
      </c>
      <c r="B687" s="253" t="s">
        <v>3340</v>
      </c>
    </row>
    <row r="688" spans="1:2" x14ac:dyDescent="0.25">
      <c r="A688" s="252" t="s">
        <v>539</v>
      </c>
      <c r="B688" s="253" t="s">
        <v>3341</v>
      </c>
    </row>
    <row r="689" spans="1:2" x14ac:dyDescent="0.25">
      <c r="A689" s="252" t="s">
        <v>3342</v>
      </c>
      <c r="B689" s="253" t="s">
        <v>3343</v>
      </c>
    </row>
    <row r="690" spans="1:2" x14ac:dyDescent="0.25">
      <c r="A690" s="252" t="s">
        <v>561</v>
      </c>
      <c r="B690" s="253" t="s">
        <v>3344</v>
      </c>
    </row>
    <row r="691" spans="1:2" x14ac:dyDescent="0.25">
      <c r="A691" s="252" t="s">
        <v>3345</v>
      </c>
      <c r="B691" s="253" t="s">
        <v>3346</v>
      </c>
    </row>
    <row r="692" spans="1:2" x14ac:dyDescent="0.25">
      <c r="A692" s="252" t="s">
        <v>3347</v>
      </c>
      <c r="B692" s="253" t="s">
        <v>3348</v>
      </c>
    </row>
    <row r="693" spans="1:2" x14ac:dyDescent="0.25">
      <c r="A693" s="252" t="s">
        <v>587</v>
      </c>
      <c r="B693" s="253" t="s">
        <v>3349</v>
      </c>
    </row>
    <row r="694" spans="1:2" x14ac:dyDescent="0.25">
      <c r="A694" s="252" t="s">
        <v>592</v>
      </c>
      <c r="B694" s="253" t="s">
        <v>3350</v>
      </c>
    </row>
    <row r="695" spans="1:2" x14ac:dyDescent="0.25">
      <c r="A695" s="252" t="s">
        <v>652</v>
      </c>
      <c r="B695" s="253" t="s">
        <v>3351</v>
      </c>
    </row>
    <row r="696" spans="1:2" x14ac:dyDescent="0.25">
      <c r="A696" s="252" t="s">
        <v>657</v>
      </c>
      <c r="B696" s="253" t="s">
        <v>3352</v>
      </c>
    </row>
    <row r="697" spans="1:2" x14ac:dyDescent="0.25">
      <c r="A697" s="252" t="s">
        <v>643</v>
      </c>
      <c r="B697" s="253" t="s">
        <v>3353</v>
      </c>
    </row>
    <row r="698" spans="1:2" x14ac:dyDescent="0.25">
      <c r="A698" s="252" t="s">
        <v>649</v>
      </c>
      <c r="B698" s="253" t="s">
        <v>3354</v>
      </c>
    </row>
    <row r="699" spans="1:2" x14ac:dyDescent="0.25">
      <c r="A699" s="252" t="s">
        <v>672</v>
      </c>
      <c r="B699" s="253" t="s">
        <v>3355</v>
      </c>
    </row>
    <row r="700" spans="1:2" x14ac:dyDescent="0.25">
      <c r="A700" s="252" t="s">
        <v>674</v>
      </c>
      <c r="B700" s="253" t="s">
        <v>3356</v>
      </c>
    </row>
    <row r="701" spans="1:2" x14ac:dyDescent="0.25">
      <c r="A701" s="252" t="s">
        <v>771</v>
      </c>
      <c r="B701" s="253" t="s">
        <v>3357</v>
      </c>
    </row>
    <row r="702" spans="1:2" x14ac:dyDescent="0.25">
      <c r="A702" s="252" t="s">
        <v>3358</v>
      </c>
      <c r="B702" s="253" t="s">
        <v>3359</v>
      </c>
    </row>
    <row r="703" spans="1:2" x14ac:dyDescent="0.25">
      <c r="A703" s="252" t="s">
        <v>3360</v>
      </c>
      <c r="B703" s="253" t="s">
        <v>3361</v>
      </c>
    </row>
    <row r="704" spans="1:2" x14ac:dyDescent="0.25">
      <c r="A704" s="252" t="s">
        <v>723</v>
      </c>
      <c r="B704" s="253" t="s">
        <v>3362</v>
      </c>
    </row>
    <row r="705" spans="1:2" x14ac:dyDescent="0.25">
      <c r="A705" s="252" t="s">
        <v>3363</v>
      </c>
      <c r="B705" s="253" t="s">
        <v>3359</v>
      </c>
    </row>
    <row r="706" spans="1:2" x14ac:dyDescent="0.25">
      <c r="A706" s="252" t="s">
        <v>3364</v>
      </c>
      <c r="B706" s="253" t="s">
        <v>3361</v>
      </c>
    </row>
    <row r="707" spans="1:2" x14ac:dyDescent="0.25">
      <c r="A707" s="252" t="s">
        <v>841</v>
      </c>
      <c r="B707" s="253" t="s">
        <v>3365</v>
      </c>
    </row>
    <row r="708" spans="1:2" x14ac:dyDescent="0.25">
      <c r="A708" s="256" t="s">
        <v>3366</v>
      </c>
      <c r="B708" s="253" t="s">
        <v>3367</v>
      </c>
    </row>
    <row r="709" spans="1:2" x14ac:dyDescent="0.25">
      <c r="A709" s="256" t="s">
        <v>3368</v>
      </c>
      <c r="B709" s="253" t="s">
        <v>3369</v>
      </c>
    </row>
    <row r="710" spans="1:2" x14ac:dyDescent="0.25">
      <c r="A710" s="256" t="s">
        <v>3370</v>
      </c>
      <c r="B710" s="253" t="s">
        <v>3371</v>
      </c>
    </row>
    <row r="711" spans="1:2" x14ac:dyDescent="0.25">
      <c r="A711" s="256" t="s">
        <v>3372</v>
      </c>
      <c r="B711" s="255" t="s">
        <v>3373</v>
      </c>
    </row>
    <row r="712" spans="1:2" x14ac:dyDescent="0.25">
      <c r="A712" s="256" t="s">
        <v>3374</v>
      </c>
      <c r="B712" s="253" t="s">
        <v>3375</v>
      </c>
    </row>
    <row r="713" spans="1:2" x14ac:dyDescent="0.25">
      <c r="A713" s="256" t="s">
        <v>3376</v>
      </c>
      <c r="B713" s="255" t="s">
        <v>3377</v>
      </c>
    </row>
    <row r="714" spans="1:2" x14ac:dyDescent="0.25">
      <c r="A714" s="256" t="s">
        <v>3378</v>
      </c>
      <c r="B714" s="255" t="s">
        <v>3379</v>
      </c>
    </row>
    <row r="715" spans="1:2" x14ac:dyDescent="0.25">
      <c r="A715" s="256" t="s">
        <v>3380</v>
      </c>
      <c r="B715" s="255" t="s">
        <v>3381</v>
      </c>
    </row>
    <row r="716" spans="1:2" x14ac:dyDescent="0.25">
      <c r="A716" s="256" t="s">
        <v>3382</v>
      </c>
      <c r="B716" s="255" t="s">
        <v>3383</v>
      </c>
    </row>
    <row r="717" spans="1:2" x14ac:dyDescent="0.25">
      <c r="A717" s="256" t="s">
        <v>3384</v>
      </c>
      <c r="B717" s="253" t="s">
        <v>3385</v>
      </c>
    </row>
    <row r="718" spans="1:2" x14ac:dyDescent="0.25">
      <c r="A718" s="256" t="s">
        <v>3386</v>
      </c>
      <c r="B718" s="253" t="s">
        <v>3387</v>
      </c>
    </row>
    <row r="719" spans="1:2" x14ac:dyDescent="0.25">
      <c r="A719" s="256" t="s">
        <v>3388</v>
      </c>
      <c r="B719" s="253" t="s">
        <v>3389</v>
      </c>
    </row>
    <row r="720" spans="1:2" x14ac:dyDescent="0.25">
      <c r="A720" s="256" t="s">
        <v>3390</v>
      </c>
      <c r="B720" s="253" t="s">
        <v>3391</v>
      </c>
    </row>
    <row r="721" spans="1:2" x14ac:dyDescent="0.25">
      <c r="A721" s="256" t="s">
        <v>3392</v>
      </c>
      <c r="B721" s="253" t="s">
        <v>2297</v>
      </c>
    </row>
    <row r="722" spans="1:2" x14ac:dyDescent="0.25">
      <c r="A722" s="256" t="s">
        <v>3393</v>
      </c>
      <c r="B722" s="253" t="s">
        <v>3394</v>
      </c>
    </row>
    <row r="723" spans="1:2" x14ac:dyDescent="0.25">
      <c r="A723" s="256" t="s">
        <v>3395</v>
      </c>
      <c r="B723" s="253" t="s">
        <v>3396</v>
      </c>
    </row>
    <row r="724" spans="1:2" x14ac:dyDescent="0.25">
      <c r="A724" s="256" t="s">
        <v>3397</v>
      </c>
      <c r="B724" s="253" t="s">
        <v>3398</v>
      </c>
    </row>
    <row r="725" spans="1:2" x14ac:dyDescent="0.25">
      <c r="A725" s="252" t="s">
        <v>3399</v>
      </c>
      <c r="B725" s="253" t="s">
        <v>3400</v>
      </c>
    </row>
    <row r="726" spans="1:2" x14ac:dyDescent="0.25">
      <c r="A726" s="252" t="s">
        <v>3401</v>
      </c>
      <c r="B726" s="253" t="s">
        <v>3402</v>
      </c>
    </row>
    <row r="727" spans="1:2" x14ac:dyDescent="0.25">
      <c r="A727" s="252" t="s">
        <v>3403</v>
      </c>
      <c r="B727" s="253" t="s">
        <v>3404</v>
      </c>
    </row>
    <row r="728" spans="1:2" x14ac:dyDescent="0.25">
      <c r="A728" s="252" t="s">
        <v>3405</v>
      </c>
      <c r="B728" s="253" t="s">
        <v>3406</v>
      </c>
    </row>
    <row r="729" spans="1:2" x14ac:dyDescent="0.25">
      <c r="A729" s="252" t="s">
        <v>3407</v>
      </c>
      <c r="B729" s="253" t="s">
        <v>3408</v>
      </c>
    </row>
    <row r="730" spans="1:2" x14ac:dyDescent="0.25">
      <c r="A730" s="252" t="s">
        <v>3409</v>
      </c>
      <c r="B730" s="253" t="s">
        <v>3410</v>
      </c>
    </row>
    <row r="731" spans="1:2" x14ac:dyDescent="0.25">
      <c r="A731" s="252" t="s">
        <v>3411</v>
      </c>
      <c r="B731" s="253" t="s">
        <v>3412</v>
      </c>
    </row>
    <row r="732" spans="1:2" x14ac:dyDescent="0.25">
      <c r="A732" s="252" t="s">
        <v>3413</v>
      </c>
      <c r="B732" s="253" t="s">
        <v>3414</v>
      </c>
    </row>
    <row r="733" spans="1:2" x14ac:dyDescent="0.25">
      <c r="A733" s="252" t="s">
        <v>3415</v>
      </c>
      <c r="B733" s="253" t="s">
        <v>3416</v>
      </c>
    </row>
    <row r="734" spans="1:2" x14ac:dyDescent="0.25">
      <c r="A734" s="252" t="s">
        <v>3417</v>
      </c>
      <c r="B734" s="253" t="s">
        <v>3418</v>
      </c>
    </row>
    <row r="735" spans="1:2" x14ac:dyDescent="0.25">
      <c r="A735" s="252" t="s">
        <v>3419</v>
      </c>
      <c r="B735" s="253" t="s">
        <v>3420</v>
      </c>
    </row>
    <row r="736" spans="1:2" x14ac:dyDescent="0.25">
      <c r="A736" s="252" t="s">
        <v>3421</v>
      </c>
      <c r="B736" s="253" t="s">
        <v>3422</v>
      </c>
    </row>
    <row r="737" spans="1:2" x14ac:dyDescent="0.25">
      <c r="A737" s="252" t="s">
        <v>3423</v>
      </c>
      <c r="B737" s="253" t="s">
        <v>3424</v>
      </c>
    </row>
    <row r="738" spans="1:2" x14ac:dyDescent="0.25">
      <c r="A738" s="252" t="s">
        <v>3425</v>
      </c>
      <c r="B738" s="253" t="s">
        <v>3426</v>
      </c>
    </row>
    <row r="739" spans="1:2" x14ac:dyDescent="0.25">
      <c r="A739" s="252" t="s">
        <v>3427</v>
      </c>
      <c r="B739" s="253" t="s">
        <v>3428</v>
      </c>
    </row>
    <row r="740" spans="1:2" x14ac:dyDescent="0.25">
      <c r="A740" s="252" t="s">
        <v>3429</v>
      </c>
      <c r="B740" s="253" t="s">
        <v>3430</v>
      </c>
    </row>
    <row r="741" spans="1:2" x14ac:dyDescent="0.25">
      <c r="A741" s="252" t="s">
        <v>3431</v>
      </c>
      <c r="B741" s="253" t="s">
        <v>3432</v>
      </c>
    </row>
    <row r="742" spans="1:2" x14ac:dyDescent="0.25">
      <c r="A742" s="252" t="s">
        <v>3433</v>
      </c>
      <c r="B742" s="253" t="s">
        <v>3434</v>
      </c>
    </row>
    <row r="743" spans="1:2" x14ac:dyDescent="0.25">
      <c r="A743" s="252" t="s">
        <v>3435</v>
      </c>
      <c r="B743" s="253" t="s">
        <v>3436</v>
      </c>
    </row>
    <row r="744" spans="1:2" x14ac:dyDescent="0.25">
      <c r="A744" s="252" t="s">
        <v>3437</v>
      </c>
      <c r="B744" s="253" t="s">
        <v>3438</v>
      </c>
    </row>
    <row r="745" spans="1:2" x14ac:dyDescent="0.25">
      <c r="A745" s="252" t="s">
        <v>3439</v>
      </c>
      <c r="B745" s="253" t="s">
        <v>3440</v>
      </c>
    </row>
    <row r="746" spans="1:2" x14ac:dyDescent="0.25">
      <c r="A746" s="252" t="s">
        <v>335</v>
      </c>
      <c r="B746" s="253" t="s">
        <v>3441</v>
      </c>
    </row>
    <row r="747" spans="1:2" x14ac:dyDescent="0.25">
      <c r="A747" s="252" t="s">
        <v>3442</v>
      </c>
      <c r="B747" s="253" t="s">
        <v>3443</v>
      </c>
    </row>
    <row r="748" spans="1:2" x14ac:dyDescent="0.25">
      <c r="A748" s="252" t="s">
        <v>3444</v>
      </c>
      <c r="B748" s="253" t="s">
        <v>3445</v>
      </c>
    </row>
    <row r="749" spans="1:2" x14ac:dyDescent="0.25">
      <c r="A749" s="252" t="s">
        <v>3446</v>
      </c>
      <c r="B749" s="253" t="s">
        <v>3447</v>
      </c>
    </row>
    <row r="750" spans="1:2" x14ac:dyDescent="0.25">
      <c r="A750" s="252" t="s">
        <v>3448</v>
      </c>
      <c r="B750" s="253" t="s">
        <v>3449</v>
      </c>
    </row>
    <row r="751" spans="1:2" x14ac:dyDescent="0.25">
      <c r="A751" s="252" t="s">
        <v>3450</v>
      </c>
      <c r="B751" s="253" t="s">
        <v>3451</v>
      </c>
    </row>
    <row r="752" spans="1:2" x14ac:dyDescent="0.25">
      <c r="A752" s="252" t="s">
        <v>3452</v>
      </c>
      <c r="B752" s="253" t="s">
        <v>3453</v>
      </c>
    </row>
    <row r="753" spans="1:2" x14ac:dyDescent="0.25">
      <c r="A753" s="252" t="s">
        <v>3454</v>
      </c>
      <c r="B753" s="253" t="s">
        <v>3455</v>
      </c>
    </row>
    <row r="754" spans="1:2" x14ac:dyDescent="0.25">
      <c r="A754" s="252" t="s">
        <v>3456</v>
      </c>
      <c r="B754" s="253" t="s">
        <v>3457</v>
      </c>
    </row>
    <row r="755" spans="1:2" x14ac:dyDescent="0.25">
      <c r="A755" s="252" t="s">
        <v>3458</v>
      </c>
      <c r="B755" s="253" t="s">
        <v>3459</v>
      </c>
    </row>
    <row r="756" spans="1:2" x14ac:dyDescent="0.25">
      <c r="A756" s="252" t="s">
        <v>3460</v>
      </c>
      <c r="B756" s="253" t="s">
        <v>3461</v>
      </c>
    </row>
    <row r="757" spans="1:2" x14ac:dyDescent="0.25">
      <c r="A757" s="252" t="s">
        <v>3462</v>
      </c>
      <c r="B757" s="253" t="s">
        <v>3463</v>
      </c>
    </row>
    <row r="758" spans="1:2" x14ac:dyDescent="0.25">
      <c r="A758" s="252" t="s">
        <v>3464</v>
      </c>
      <c r="B758" s="253" t="s">
        <v>3465</v>
      </c>
    </row>
    <row r="759" spans="1:2" x14ac:dyDescent="0.25">
      <c r="A759" s="252" t="s">
        <v>3466</v>
      </c>
      <c r="B759" s="253" t="s">
        <v>3467</v>
      </c>
    </row>
    <row r="760" spans="1:2" x14ac:dyDescent="0.25">
      <c r="A760" s="252" t="s">
        <v>3468</v>
      </c>
      <c r="B760" s="253" t="s">
        <v>3469</v>
      </c>
    </row>
    <row r="761" spans="1:2" x14ac:dyDescent="0.25">
      <c r="A761" s="252" t="s">
        <v>3470</v>
      </c>
      <c r="B761" s="253" t="s">
        <v>3471</v>
      </c>
    </row>
    <row r="762" spans="1:2" x14ac:dyDescent="0.25">
      <c r="A762" s="252" t="s">
        <v>3472</v>
      </c>
      <c r="B762" s="253" t="s">
        <v>3473</v>
      </c>
    </row>
    <row r="763" spans="1:2" x14ac:dyDescent="0.25">
      <c r="A763" s="256" t="s">
        <v>3474</v>
      </c>
      <c r="B763" s="253" t="s">
        <v>3475</v>
      </c>
    </row>
    <row r="764" spans="1:2" x14ac:dyDescent="0.25">
      <c r="A764" s="252" t="s">
        <v>3476</v>
      </c>
      <c r="B764" s="253" t="s">
        <v>3477</v>
      </c>
    </row>
    <row r="765" spans="1:2" x14ac:dyDescent="0.25">
      <c r="A765" s="252" t="s">
        <v>3478</v>
      </c>
      <c r="B765" s="253" t="s">
        <v>3479</v>
      </c>
    </row>
    <row r="766" spans="1:2" x14ac:dyDescent="0.25">
      <c r="A766" s="252" t="s">
        <v>3480</v>
      </c>
      <c r="B766" s="253" t="s">
        <v>3481</v>
      </c>
    </row>
    <row r="767" spans="1:2" x14ac:dyDescent="0.25">
      <c r="A767" s="252" t="s">
        <v>3482</v>
      </c>
      <c r="B767" s="253" t="s">
        <v>3483</v>
      </c>
    </row>
    <row r="768" spans="1:2" x14ac:dyDescent="0.25">
      <c r="A768" s="252" t="s">
        <v>3484</v>
      </c>
      <c r="B768" s="253" t="s">
        <v>3485</v>
      </c>
    </row>
    <row r="769" spans="1:2" x14ac:dyDescent="0.25">
      <c r="A769" s="252" t="s">
        <v>3486</v>
      </c>
      <c r="B769" s="253" t="s">
        <v>3487</v>
      </c>
    </row>
    <row r="770" spans="1:2" x14ac:dyDescent="0.25">
      <c r="A770" s="252" t="s">
        <v>3488</v>
      </c>
      <c r="B770" s="253" t="s">
        <v>3489</v>
      </c>
    </row>
    <row r="771" spans="1:2" x14ac:dyDescent="0.25">
      <c r="A771" s="252" t="s">
        <v>3490</v>
      </c>
      <c r="B771" s="253" t="s">
        <v>3491</v>
      </c>
    </row>
    <row r="772" spans="1:2" x14ac:dyDescent="0.25">
      <c r="A772" s="252" t="s">
        <v>3492</v>
      </c>
      <c r="B772" s="253" t="s">
        <v>3493</v>
      </c>
    </row>
    <row r="773" spans="1:2" x14ac:dyDescent="0.25">
      <c r="A773" s="252" t="s">
        <v>3494</v>
      </c>
      <c r="B773" s="253" t="s">
        <v>3495</v>
      </c>
    </row>
    <row r="774" spans="1:2" x14ac:dyDescent="0.25">
      <c r="A774" s="252" t="s">
        <v>3496</v>
      </c>
      <c r="B774" s="253" t="s">
        <v>3497</v>
      </c>
    </row>
    <row r="775" spans="1:2" x14ac:dyDescent="0.25">
      <c r="A775" s="252" t="s">
        <v>3498</v>
      </c>
      <c r="B775" s="253" t="s">
        <v>3499</v>
      </c>
    </row>
    <row r="776" spans="1:2" x14ac:dyDescent="0.25">
      <c r="A776" s="252" t="s">
        <v>3500</v>
      </c>
      <c r="B776" s="253" t="s">
        <v>3501</v>
      </c>
    </row>
    <row r="777" spans="1:2" x14ac:dyDescent="0.25">
      <c r="A777" s="252" t="s">
        <v>3502</v>
      </c>
      <c r="B777" s="253" t="s">
        <v>3503</v>
      </c>
    </row>
    <row r="778" spans="1:2" x14ac:dyDescent="0.25">
      <c r="A778" s="252" t="s">
        <v>3504</v>
      </c>
      <c r="B778" s="253" t="s">
        <v>3505</v>
      </c>
    </row>
    <row r="779" spans="1:2" x14ac:dyDescent="0.25">
      <c r="A779" s="252" t="s">
        <v>3506</v>
      </c>
      <c r="B779" s="253" t="s">
        <v>3507</v>
      </c>
    </row>
    <row r="780" spans="1:2" x14ac:dyDescent="0.25">
      <c r="A780" s="252" t="s">
        <v>3508</v>
      </c>
      <c r="B780" s="253" t="s">
        <v>3509</v>
      </c>
    </row>
    <row r="781" spans="1:2" x14ac:dyDescent="0.25">
      <c r="A781" s="252" t="s">
        <v>3510</v>
      </c>
      <c r="B781" s="253" t="s">
        <v>3511</v>
      </c>
    </row>
    <row r="782" spans="1:2" x14ac:dyDescent="0.25">
      <c r="A782" s="252" t="s">
        <v>3512</v>
      </c>
      <c r="B782" s="253" t="s">
        <v>3513</v>
      </c>
    </row>
    <row r="783" spans="1:2" x14ac:dyDescent="0.25">
      <c r="A783" s="252" t="s">
        <v>3514</v>
      </c>
      <c r="B783" s="253" t="s">
        <v>3515</v>
      </c>
    </row>
    <row r="784" spans="1:2" x14ac:dyDescent="0.25">
      <c r="A784" s="252" t="s">
        <v>3516</v>
      </c>
      <c r="B784" s="253" t="s">
        <v>3517</v>
      </c>
    </row>
    <row r="785" spans="1:2" x14ac:dyDescent="0.25">
      <c r="A785" s="252" t="s">
        <v>3518</v>
      </c>
      <c r="B785" s="253" t="s">
        <v>3519</v>
      </c>
    </row>
    <row r="786" spans="1:2" x14ac:dyDescent="0.25">
      <c r="A786" s="252" t="s">
        <v>3520</v>
      </c>
      <c r="B786" s="253" t="s">
        <v>3521</v>
      </c>
    </row>
    <row r="787" spans="1:2" x14ac:dyDescent="0.25">
      <c r="A787" s="252" t="s">
        <v>3522</v>
      </c>
      <c r="B787" s="253" t="s">
        <v>3523</v>
      </c>
    </row>
    <row r="788" spans="1:2" x14ac:dyDescent="0.25">
      <c r="A788" s="252" t="s">
        <v>3524</v>
      </c>
      <c r="B788" s="253" t="s">
        <v>3525</v>
      </c>
    </row>
    <row r="789" spans="1:2" x14ac:dyDescent="0.25">
      <c r="A789" s="252" t="s">
        <v>3526</v>
      </c>
      <c r="B789" s="253" t="s">
        <v>3527</v>
      </c>
    </row>
    <row r="790" spans="1:2" x14ac:dyDescent="0.25">
      <c r="A790" s="252" t="s">
        <v>3528</v>
      </c>
      <c r="B790" s="253" t="s">
        <v>3529</v>
      </c>
    </row>
    <row r="791" spans="1:2" x14ac:dyDescent="0.25">
      <c r="A791" s="252" t="s">
        <v>3530</v>
      </c>
      <c r="B791" s="253" t="s">
        <v>3430</v>
      </c>
    </row>
    <row r="792" spans="1:2" x14ac:dyDescent="0.25">
      <c r="A792" s="252" t="s">
        <v>3531</v>
      </c>
      <c r="B792" s="253" t="s">
        <v>3532</v>
      </c>
    </row>
    <row r="793" spans="1:2" x14ac:dyDescent="0.25">
      <c r="A793" s="252" t="s">
        <v>3533</v>
      </c>
      <c r="B793" s="253" t="s">
        <v>3534</v>
      </c>
    </row>
    <row r="794" spans="1:2" x14ac:dyDescent="0.25">
      <c r="A794" s="252" t="s">
        <v>3535</v>
      </c>
      <c r="B794" s="253" t="s">
        <v>3536</v>
      </c>
    </row>
    <row r="795" spans="1:2" x14ac:dyDescent="0.25">
      <c r="A795" s="252" t="s">
        <v>3537</v>
      </c>
      <c r="B795" s="253" t="s">
        <v>3538</v>
      </c>
    </row>
    <row r="796" spans="1:2" x14ac:dyDescent="0.25">
      <c r="A796" s="252" t="s">
        <v>3539</v>
      </c>
      <c r="B796" s="253" t="s">
        <v>3540</v>
      </c>
    </row>
    <row r="797" spans="1:2" x14ac:dyDescent="0.25">
      <c r="A797" s="252" t="s">
        <v>3541</v>
      </c>
      <c r="B797" s="253" t="s">
        <v>3542</v>
      </c>
    </row>
    <row r="798" spans="1:2" x14ac:dyDescent="0.25">
      <c r="A798" s="252" t="s">
        <v>3543</v>
      </c>
      <c r="B798" s="253" t="s">
        <v>3544</v>
      </c>
    </row>
    <row r="799" spans="1:2" x14ac:dyDescent="0.25">
      <c r="A799" s="252" t="s">
        <v>3545</v>
      </c>
      <c r="B799" s="253" t="s">
        <v>3546</v>
      </c>
    </row>
    <row r="800" spans="1:2" x14ac:dyDescent="0.25">
      <c r="A800" s="252" t="s">
        <v>3547</v>
      </c>
      <c r="B800" s="253" t="s">
        <v>3548</v>
      </c>
    </row>
    <row r="801" spans="1:2" x14ac:dyDescent="0.25">
      <c r="A801" s="252" t="s">
        <v>3549</v>
      </c>
      <c r="B801" s="253" t="s">
        <v>3550</v>
      </c>
    </row>
    <row r="802" spans="1:2" x14ac:dyDescent="0.25">
      <c r="A802" s="252" t="s">
        <v>130</v>
      </c>
      <c r="B802" s="253" t="s">
        <v>3551</v>
      </c>
    </row>
    <row r="803" spans="1:2" x14ac:dyDescent="0.25">
      <c r="A803" s="252" t="s">
        <v>3552</v>
      </c>
      <c r="B803" s="253" t="s">
        <v>3553</v>
      </c>
    </row>
    <row r="804" spans="1:2" x14ac:dyDescent="0.25">
      <c r="A804" s="252" t="s">
        <v>3554</v>
      </c>
      <c r="B804" s="253" t="s">
        <v>3555</v>
      </c>
    </row>
    <row r="805" spans="1:2" x14ac:dyDescent="0.25">
      <c r="A805" s="252" t="s">
        <v>3556</v>
      </c>
      <c r="B805" s="253" t="s">
        <v>3557</v>
      </c>
    </row>
    <row r="806" spans="1:2" x14ac:dyDescent="0.25">
      <c r="A806" s="252" t="s">
        <v>3558</v>
      </c>
      <c r="B806" s="253" t="s">
        <v>3559</v>
      </c>
    </row>
    <row r="807" spans="1:2" x14ac:dyDescent="0.25">
      <c r="A807" s="252" t="s">
        <v>3560</v>
      </c>
      <c r="B807" s="253" t="s">
        <v>3561</v>
      </c>
    </row>
    <row r="808" spans="1:2" x14ac:dyDescent="0.25">
      <c r="A808" s="252" t="s">
        <v>3562</v>
      </c>
      <c r="B808" s="253" t="s">
        <v>3563</v>
      </c>
    </row>
    <row r="809" spans="1:2" x14ac:dyDescent="0.25">
      <c r="A809" s="252" t="s">
        <v>3564</v>
      </c>
      <c r="B809" s="253" t="s">
        <v>3565</v>
      </c>
    </row>
    <row r="810" spans="1:2" x14ac:dyDescent="0.25">
      <c r="A810" s="252" t="s">
        <v>3566</v>
      </c>
      <c r="B810" s="253" t="s">
        <v>3567</v>
      </c>
    </row>
    <row r="811" spans="1:2" x14ac:dyDescent="0.25">
      <c r="A811" s="252" t="s">
        <v>3568</v>
      </c>
      <c r="B811" s="253" t="s">
        <v>3569</v>
      </c>
    </row>
    <row r="812" spans="1:2" x14ac:dyDescent="0.25">
      <c r="A812" s="252" t="s">
        <v>3570</v>
      </c>
      <c r="B812" s="253" t="s">
        <v>3571</v>
      </c>
    </row>
    <row r="813" spans="1:2" x14ac:dyDescent="0.25">
      <c r="A813" s="252" t="s">
        <v>3572</v>
      </c>
      <c r="B813" s="253" t="s">
        <v>3573</v>
      </c>
    </row>
    <row r="814" spans="1:2" x14ac:dyDescent="0.25">
      <c r="A814" s="252" t="s">
        <v>3574</v>
      </c>
      <c r="B814" s="253" t="s">
        <v>3575</v>
      </c>
    </row>
    <row r="815" spans="1:2" x14ac:dyDescent="0.25">
      <c r="A815" s="252" t="s">
        <v>193</v>
      </c>
      <c r="B815" s="253" t="s">
        <v>3576</v>
      </c>
    </row>
    <row r="816" spans="1:2" x14ac:dyDescent="0.25">
      <c r="A816" s="252" t="s">
        <v>3577</v>
      </c>
      <c r="B816" s="253" t="s">
        <v>3578</v>
      </c>
    </row>
    <row r="817" spans="1:2" x14ac:dyDescent="0.25">
      <c r="A817" s="252" t="s">
        <v>3579</v>
      </c>
      <c r="B817" s="253" t="s">
        <v>3580</v>
      </c>
    </row>
    <row r="818" spans="1:2" x14ac:dyDescent="0.25">
      <c r="A818" s="252" t="s">
        <v>3581</v>
      </c>
      <c r="B818" s="253" t="s">
        <v>3582</v>
      </c>
    </row>
    <row r="819" spans="1:2" x14ac:dyDescent="0.25">
      <c r="A819" s="252" t="s">
        <v>3583</v>
      </c>
      <c r="B819" s="253" t="s">
        <v>3584</v>
      </c>
    </row>
    <row r="820" spans="1:2" x14ac:dyDescent="0.25">
      <c r="A820" s="252" t="s">
        <v>3585</v>
      </c>
      <c r="B820" s="253" t="s">
        <v>3586</v>
      </c>
    </row>
    <row r="821" spans="1:2" x14ac:dyDescent="0.25">
      <c r="A821" s="252" t="s">
        <v>3587</v>
      </c>
      <c r="B821" s="253" t="s">
        <v>3588</v>
      </c>
    </row>
    <row r="822" spans="1:2" x14ac:dyDescent="0.25">
      <c r="A822" s="252" t="s">
        <v>3589</v>
      </c>
      <c r="B822" s="253" t="s">
        <v>3590</v>
      </c>
    </row>
    <row r="823" spans="1:2" x14ac:dyDescent="0.25">
      <c r="A823" s="252" t="s">
        <v>3591</v>
      </c>
      <c r="B823" s="253" t="s">
        <v>3592</v>
      </c>
    </row>
    <row r="824" spans="1:2" x14ac:dyDescent="0.25">
      <c r="A824" s="252" t="s">
        <v>3593</v>
      </c>
      <c r="B824" s="253" t="s">
        <v>3594</v>
      </c>
    </row>
    <row r="825" spans="1:2" x14ac:dyDescent="0.25">
      <c r="A825" s="252" t="s">
        <v>3595</v>
      </c>
      <c r="B825" s="253" t="s">
        <v>3596</v>
      </c>
    </row>
    <row r="826" spans="1:2" x14ac:dyDescent="0.25">
      <c r="A826" s="252" t="s">
        <v>3597</v>
      </c>
      <c r="B826" s="253" t="s">
        <v>3598</v>
      </c>
    </row>
    <row r="827" spans="1:2" x14ac:dyDescent="0.25">
      <c r="A827" s="252" t="s">
        <v>3599</v>
      </c>
      <c r="B827" s="253" t="s">
        <v>3600</v>
      </c>
    </row>
    <row r="828" spans="1:2" x14ac:dyDescent="0.25">
      <c r="A828" s="252" t="s">
        <v>3601</v>
      </c>
      <c r="B828" s="253" t="s">
        <v>3602</v>
      </c>
    </row>
    <row r="829" spans="1:2" x14ac:dyDescent="0.25">
      <c r="A829" s="252" t="s">
        <v>3603</v>
      </c>
      <c r="B829" s="253" t="s">
        <v>3604</v>
      </c>
    </row>
    <row r="830" spans="1:2" x14ac:dyDescent="0.25">
      <c r="A830" s="252" t="s">
        <v>3605</v>
      </c>
      <c r="B830" s="253" t="s">
        <v>3606</v>
      </c>
    </row>
    <row r="831" spans="1:2" x14ac:dyDescent="0.25">
      <c r="A831" s="252" t="s">
        <v>3607</v>
      </c>
      <c r="B831" s="253" t="s">
        <v>3608</v>
      </c>
    </row>
    <row r="832" spans="1:2" x14ac:dyDescent="0.25">
      <c r="A832" s="252" t="s">
        <v>3609</v>
      </c>
      <c r="B832" s="253" t="s">
        <v>3610</v>
      </c>
    </row>
    <row r="833" spans="1:2" x14ac:dyDescent="0.25">
      <c r="A833" s="252" t="s">
        <v>3611</v>
      </c>
      <c r="B833" s="253" t="s">
        <v>3612</v>
      </c>
    </row>
    <row r="834" spans="1:2" x14ac:dyDescent="0.25">
      <c r="A834" s="252" t="s">
        <v>3613</v>
      </c>
      <c r="B834" s="253" t="s">
        <v>3614</v>
      </c>
    </row>
    <row r="835" spans="1:2" x14ac:dyDescent="0.25">
      <c r="A835" s="252" t="s">
        <v>3615</v>
      </c>
      <c r="B835" s="253" t="s">
        <v>3616</v>
      </c>
    </row>
    <row r="836" spans="1:2" x14ac:dyDescent="0.25">
      <c r="A836" s="252" t="s">
        <v>3617</v>
      </c>
      <c r="B836" s="253" t="s">
        <v>3618</v>
      </c>
    </row>
    <row r="837" spans="1:2" x14ac:dyDescent="0.25">
      <c r="A837" s="252" t="s">
        <v>3619</v>
      </c>
      <c r="B837" s="253" t="s">
        <v>3620</v>
      </c>
    </row>
    <row r="838" spans="1:2" x14ac:dyDescent="0.25">
      <c r="A838" s="252" t="s">
        <v>3621</v>
      </c>
      <c r="B838" s="253" t="s">
        <v>3622</v>
      </c>
    </row>
    <row r="839" spans="1:2" x14ac:dyDescent="0.25">
      <c r="A839" s="252" t="s">
        <v>3623</v>
      </c>
      <c r="B839" s="253" t="s">
        <v>3624</v>
      </c>
    </row>
    <row r="840" spans="1:2" x14ac:dyDescent="0.25">
      <c r="A840" s="252" t="s">
        <v>3625</v>
      </c>
      <c r="B840" s="253" t="s">
        <v>3626</v>
      </c>
    </row>
    <row r="841" spans="1:2" x14ac:dyDescent="0.25">
      <c r="A841" s="252" t="s">
        <v>3627</v>
      </c>
      <c r="B841" s="253" t="s">
        <v>3628</v>
      </c>
    </row>
    <row r="842" spans="1:2" x14ac:dyDescent="0.25">
      <c r="A842" s="252" t="s">
        <v>3629</v>
      </c>
      <c r="B842" s="253" t="s">
        <v>3630</v>
      </c>
    </row>
    <row r="843" spans="1:2" x14ac:dyDescent="0.25">
      <c r="A843" s="252" t="s">
        <v>3631</v>
      </c>
      <c r="B843" s="253" t="s">
        <v>3632</v>
      </c>
    </row>
    <row r="844" spans="1:2" x14ac:dyDescent="0.25">
      <c r="A844" s="252" t="s">
        <v>3633</v>
      </c>
      <c r="B844" s="253" t="s">
        <v>3634</v>
      </c>
    </row>
    <row r="845" spans="1:2" x14ac:dyDescent="0.25">
      <c r="A845" s="252" t="s">
        <v>3635</v>
      </c>
      <c r="B845" s="253" t="s">
        <v>3636</v>
      </c>
    </row>
    <row r="846" spans="1:2" x14ac:dyDescent="0.25">
      <c r="A846" s="252" t="s">
        <v>327</v>
      </c>
      <c r="B846" s="253" t="s">
        <v>3637</v>
      </c>
    </row>
    <row r="847" spans="1:2" x14ac:dyDescent="0.25">
      <c r="A847" s="252" t="s">
        <v>333</v>
      </c>
      <c r="B847" s="253" t="s">
        <v>3638</v>
      </c>
    </row>
    <row r="848" spans="1:2" x14ac:dyDescent="0.25">
      <c r="A848" s="252" t="s">
        <v>3639</v>
      </c>
      <c r="B848" s="253" t="s">
        <v>3640</v>
      </c>
    </row>
    <row r="849" spans="1:2" x14ac:dyDescent="0.25">
      <c r="A849" s="252" t="s">
        <v>3641</v>
      </c>
      <c r="B849" s="253" t="s">
        <v>3642</v>
      </c>
    </row>
    <row r="850" spans="1:2" x14ac:dyDescent="0.25">
      <c r="A850" s="252" t="s">
        <v>3643</v>
      </c>
      <c r="B850" s="253" t="s">
        <v>3642</v>
      </c>
    </row>
    <row r="851" spans="1:2" x14ac:dyDescent="0.25">
      <c r="A851" s="252" t="s">
        <v>3644</v>
      </c>
      <c r="B851" s="253" t="s">
        <v>3645</v>
      </c>
    </row>
    <row r="852" spans="1:2" x14ac:dyDescent="0.25">
      <c r="A852" s="252" t="s">
        <v>3646</v>
      </c>
      <c r="B852" s="253" t="s">
        <v>3647</v>
      </c>
    </row>
    <row r="853" spans="1:2" x14ac:dyDescent="0.25">
      <c r="A853" s="252" t="s">
        <v>3648</v>
      </c>
      <c r="B853" s="253" t="s">
        <v>3649</v>
      </c>
    </row>
    <row r="854" spans="1:2" x14ac:dyDescent="0.25">
      <c r="A854" s="252" t="s">
        <v>3650</v>
      </c>
      <c r="B854" s="253" t="s">
        <v>3651</v>
      </c>
    </row>
    <row r="855" spans="1:2" x14ac:dyDescent="0.25">
      <c r="A855" s="252" t="s">
        <v>3652</v>
      </c>
      <c r="B855" s="253" t="s">
        <v>3653</v>
      </c>
    </row>
    <row r="856" spans="1:2" x14ac:dyDescent="0.25">
      <c r="A856" s="252" t="s">
        <v>3654</v>
      </c>
      <c r="B856" s="253" t="s">
        <v>3655</v>
      </c>
    </row>
    <row r="857" spans="1:2" x14ac:dyDescent="0.25">
      <c r="A857" s="252" t="s">
        <v>3656</v>
      </c>
      <c r="B857" s="253" t="s">
        <v>3657</v>
      </c>
    </row>
    <row r="858" spans="1:2" x14ac:dyDescent="0.25">
      <c r="A858" s="252" t="s">
        <v>3658</v>
      </c>
      <c r="B858" s="253" t="s">
        <v>3659</v>
      </c>
    </row>
    <row r="859" spans="1:2" x14ac:dyDescent="0.25">
      <c r="A859" s="252" t="s">
        <v>3660</v>
      </c>
      <c r="B859" s="253" t="s">
        <v>3661</v>
      </c>
    </row>
    <row r="860" spans="1:2" x14ac:dyDescent="0.25">
      <c r="A860" s="252" t="s">
        <v>3662</v>
      </c>
      <c r="B860" s="253" t="s">
        <v>3663</v>
      </c>
    </row>
    <row r="861" spans="1:2" x14ac:dyDescent="0.25">
      <c r="A861" s="252" t="s">
        <v>3664</v>
      </c>
      <c r="B861" s="253" t="s">
        <v>3665</v>
      </c>
    </row>
    <row r="862" spans="1:2" x14ac:dyDescent="0.25">
      <c r="A862" s="252" t="s">
        <v>3666</v>
      </c>
      <c r="B862" s="253" t="s">
        <v>3667</v>
      </c>
    </row>
    <row r="863" spans="1:2" x14ac:dyDescent="0.25">
      <c r="A863" s="252" t="s">
        <v>3668</v>
      </c>
      <c r="B863" s="253" t="s">
        <v>3669</v>
      </c>
    </row>
    <row r="864" spans="1:2" x14ac:dyDescent="0.25">
      <c r="A864" s="252" t="s">
        <v>3670</v>
      </c>
      <c r="B864" s="253" t="s">
        <v>3671</v>
      </c>
    </row>
    <row r="865" spans="1:2" x14ac:dyDescent="0.25">
      <c r="A865" s="252" t="s">
        <v>3672</v>
      </c>
      <c r="B865" s="253" t="s">
        <v>3673</v>
      </c>
    </row>
    <row r="866" spans="1:2" x14ac:dyDescent="0.25">
      <c r="A866" s="252" t="s">
        <v>3674</v>
      </c>
      <c r="B866" s="253" t="s">
        <v>3675</v>
      </c>
    </row>
    <row r="867" spans="1:2" x14ac:dyDescent="0.25">
      <c r="A867" s="252" t="s">
        <v>3676</v>
      </c>
      <c r="B867" s="253" t="s">
        <v>3677</v>
      </c>
    </row>
    <row r="868" spans="1:2" x14ac:dyDescent="0.25">
      <c r="A868" s="252" t="s">
        <v>3678</v>
      </c>
      <c r="B868" s="253" t="s">
        <v>3679</v>
      </c>
    </row>
    <row r="869" spans="1:2" x14ac:dyDescent="0.25">
      <c r="A869" s="252" t="s">
        <v>3680</v>
      </c>
      <c r="B869" s="253" t="s">
        <v>3681</v>
      </c>
    </row>
    <row r="870" spans="1:2" x14ac:dyDescent="0.25">
      <c r="A870" s="252" t="s">
        <v>3682</v>
      </c>
      <c r="B870" s="253" t="s">
        <v>3683</v>
      </c>
    </row>
    <row r="871" spans="1:2" x14ac:dyDescent="0.25">
      <c r="A871" s="252" t="s">
        <v>3684</v>
      </c>
      <c r="B871" s="253" t="s">
        <v>3685</v>
      </c>
    </row>
    <row r="872" spans="1:2" x14ac:dyDescent="0.25">
      <c r="A872" s="252" t="s">
        <v>3686</v>
      </c>
      <c r="B872" s="253" t="s">
        <v>3687</v>
      </c>
    </row>
    <row r="873" spans="1:2" x14ac:dyDescent="0.25">
      <c r="A873" s="252" t="s">
        <v>3688</v>
      </c>
      <c r="B873" s="253" t="s">
        <v>3689</v>
      </c>
    </row>
    <row r="874" spans="1:2" x14ac:dyDescent="0.25">
      <c r="A874" s="252" t="s">
        <v>3690</v>
      </c>
      <c r="B874" s="253" t="s">
        <v>3691</v>
      </c>
    </row>
    <row r="875" spans="1:2" x14ac:dyDescent="0.25">
      <c r="A875" s="252" t="s">
        <v>836</v>
      </c>
      <c r="B875" s="253" t="s">
        <v>3692</v>
      </c>
    </row>
    <row r="876" spans="1:2" x14ac:dyDescent="0.25">
      <c r="A876" s="252" t="s">
        <v>3693</v>
      </c>
      <c r="B876" s="253" t="s">
        <v>3694</v>
      </c>
    </row>
    <row r="877" spans="1:2" x14ac:dyDescent="0.25">
      <c r="A877" s="252" t="s">
        <v>3695</v>
      </c>
      <c r="B877" s="253" t="s">
        <v>3696</v>
      </c>
    </row>
    <row r="878" spans="1:2" x14ac:dyDescent="0.25">
      <c r="A878" s="252" t="s">
        <v>3697</v>
      </c>
      <c r="B878" s="253" t="s">
        <v>3698</v>
      </c>
    </row>
    <row r="879" spans="1:2" x14ac:dyDescent="0.25">
      <c r="A879" s="252" t="s">
        <v>3699</v>
      </c>
      <c r="B879" s="253" t="s">
        <v>3700</v>
      </c>
    </row>
    <row r="880" spans="1:2" x14ac:dyDescent="0.25">
      <c r="A880" s="252" t="s">
        <v>284</v>
      </c>
      <c r="B880" s="253" t="s">
        <v>3701</v>
      </c>
    </row>
    <row r="881" spans="1:2" x14ac:dyDescent="0.25">
      <c r="A881" s="252" t="s">
        <v>292</v>
      </c>
      <c r="B881" s="253" t="s">
        <v>3702</v>
      </c>
    </row>
    <row r="882" spans="1:2" x14ac:dyDescent="0.25">
      <c r="A882" s="252" t="s">
        <v>276</v>
      </c>
      <c r="B882" s="253" t="s">
        <v>3703</v>
      </c>
    </row>
    <row r="883" spans="1:2" x14ac:dyDescent="0.25">
      <c r="A883" s="252" t="s">
        <v>278</v>
      </c>
      <c r="B883" s="253" t="s">
        <v>3704</v>
      </c>
    </row>
    <row r="884" spans="1:2" x14ac:dyDescent="0.25">
      <c r="A884" s="252" t="s">
        <v>306</v>
      </c>
      <c r="B884" s="253" t="s">
        <v>3705</v>
      </c>
    </row>
    <row r="885" spans="1:2" x14ac:dyDescent="0.25">
      <c r="A885" s="252" t="s">
        <v>3706</v>
      </c>
      <c r="B885" s="253" t="s">
        <v>3707</v>
      </c>
    </row>
    <row r="886" spans="1:2" x14ac:dyDescent="0.25">
      <c r="A886" s="252" t="s">
        <v>3708</v>
      </c>
      <c r="B886" s="253" t="s">
        <v>3709</v>
      </c>
    </row>
    <row r="887" spans="1:2" x14ac:dyDescent="0.25">
      <c r="A887" s="252" t="s">
        <v>3710</v>
      </c>
      <c r="B887" s="253" t="s">
        <v>3711</v>
      </c>
    </row>
    <row r="888" spans="1:2" x14ac:dyDescent="0.25">
      <c r="A888" s="252" t="s">
        <v>3712</v>
      </c>
      <c r="B888" s="253" t="s">
        <v>3713</v>
      </c>
    </row>
    <row r="889" spans="1:2" x14ac:dyDescent="0.25">
      <c r="A889" s="252" t="s">
        <v>3714</v>
      </c>
      <c r="B889" s="253" t="s">
        <v>3715</v>
      </c>
    </row>
    <row r="890" spans="1:2" x14ac:dyDescent="0.25">
      <c r="A890" s="252" t="s">
        <v>3716</v>
      </c>
      <c r="B890" s="253" t="s">
        <v>3717</v>
      </c>
    </row>
    <row r="891" spans="1:2" x14ac:dyDescent="0.25">
      <c r="A891" s="252" t="s">
        <v>3718</v>
      </c>
      <c r="B891" s="253" t="s">
        <v>3719</v>
      </c>
    </row>
    <row r="892" spans="1:2" x14ac:dyDescent="0.25">
      <c r="A892" s="252" t="s">
        <v>942</v>
      </c>
      <c r="B892" s="253" t="s">
        <v>3720</v>
      </c>
    </row>
    <row r="893" spans="1:2" x14ac:dyDescent="0.25">
      <c r="A893" s="252" t="s">
        <v>3721</v>
      </c>
      <c r="B893" s="253" t="s">
        <v>3722</v>
      </c>
    </row>
    <row r="894" spans="1:2" x14ac:dyDescent="0.25">
      <c r="A894" s="252" t="s">
        <v>3723</v>
      </c>
      <c r="B894" s="253" t="s">
        <v>3724</v>
      </c>
    </row>
    <row r="895" spans="1:2" x14ac:dyDescent="0.25">
      <c r="A895" s="252" t="s">
        <v>3725</v>
      </c>
      <c r="B895" s="253" t="s">
        <v>3726</v>
      </c>
    </row>
    <row r="896" spans="1:2" x14ac:dyDescent="0.25">
      <c r="A896" s="252" t="s">
        <v>474</v>
      </c>
      <c r="B896" s="253" t="s">
        <v>3727</v>
      </c>
    </row>
    <row r="897" spans="1:2" x14ac:dyDescent="0.25">
      <c r="A897" s="252" t="s">
        <v>3728</v>
      </c>
      <c r="B897" s="253" t="s">
        <v>3729</v>
      </c>
    </row>
    <row r="898" spans="1:2" x14ac:dyDescent="0.25">
      <c r="A898" s="252" t="s">
        <v>707</v>
      </c>
      <c r="B898" s="253" t="s">
        <v>3730</v>
      </c>
    </row>
    <row r="899" spans="1:2" x14ac:dyDescent="0.25">
      <c r="A899" s="252" t="s">
        <v>709</v>
      </c>
      <c r="B899" s="253" t="s">
        <v>3731</v>
      </c>
    </row>
    <row r="900" spans="1:2" x14ac:dyDescent="0.25">
      <c r="A900" s="252" t="s">
        <v>3732</v>
      </c>
      <c r="B900" s="253" t="s">
        <v>3733</v>
      </c>
    </row>
    <row r="901" spans="1:2" x14ac:dyDescent="0.25">
      <c r="A901" s="252" t="s">
        <v>3734</v>
      </c>
      <c r="B901" s="253" t="s">
        <v>3735</v>
      </c>
    </row>
    <row r="902" spans="1:2" x14ac:dyDescent="0.25">
      <c r="A902" s="252" t="s">
        <v>3736</v>
      </c>
      <c r="B902" s="253" t="s">
        <v>3737</v>
      </c>
    </row>
    <row r="903" spans="1:2" x14ac:dyDescent="0.25">
      <c r="A903" s="252" t="s">
        <v>843</v>
      </c>
      <c r="B903" s="253" t="s">
        <v>3738</v>
      </c>
    </row>
    <row r="904" spans="1:2" x14ac:dyDescent="0.25">
      <c r="A904" s="252" t="s">
        <v>869</v>
      </c>
      <c r="B904" s="253" t="s">
        <v>3739</v>
      </c>
    </row>
    <row r="905" spans="1:2" x14ac:dyDescent="0.25">
      <c r="A905" s="252" t="s">
        <v>3740</v>
      </c>
      <c r="B905" s="253" t="s">
        <v>3741</v>
      </c>
    </row>
    <row r="906" spans="1:2" x14ac:dyDescent="0.25">
      <c r="A906" s="252" t="s">
        <v>3742</v>
      </c>
      <c r="B906" s="253" t="s">
        <v>3743</v>
      </c>
    </row>
    <row r="907" spans="1:2" x14ac:dyDescent="0.25">
      <c r="A907" s="252" t="s">
        <v>3744</v>
      </c>
      <c r="B907" s="253" t="s">
        <v>3745</v>
      </c>
    </row>
    <row r="908" spans="1:2" x14ac:dyDescent="0.25">
      <c r="A908" s="252" t="s">
        <v>3746</v>
      </c>
      <c r="B908" s="253" t="s">
        <v>3747</v>
      </c>
    </row>
    <row r="909" spans="1:2" x14ac:dyDescent="0.25">
      <c r="A909" s="252" t="s">
        <v>3748</v>
      </c>
      <c r="B909" s="253" t="s">
        <v>3749</v>
      </c>
    </row>
    <row r="910" spans="1:2" x14ac:dyDescent="0.25">
      <c r="A910" s="252" t="s">
        <v>3750</v>
      </c>
      <c r="B910" s="253" t="s">
        <v>3751</v>
      </c>
    </row>
    <row r="911" spans="1:2" x14ac:dyDescent="0.25">
      <c r="A911" s="252" t="s">
        <v>3752</v>
      </c>
      <c r="B911" s="253" t="s">
        <v>3753</v>
      </c>
    </row>
    <row r="912" spans="1:2" x14ac:dyDescent="0.25">
      <c r="A912" s="252" t="s">
        <v>3754</v>
      </c>
      <c r="B912" s="253" t="s">
        <v>3755</v>
      </c>
    </row>
    <row r="913" spans="1:2" x14ac:dyDescent="0.25">
      <c r="A913" s="252" t="s">
        <v>3756</v>
      </c>
      <c r="B913" s="253" t="s">
        <v>3757</v>
      </c>
    </row>
    <row r="914" spans="1:2" x14ac:dyDescent="0.25">
      <c r="A914" s="252" t="s">
        <v>3758</v>
      </c>
      <c r="B914" s="253" t="s">
        <v>3759</v>
      </c>
    </row>
    <row r="915" spans="1:2" x14ac:dyDescent="0.25">
      <c r="A915" s="252" t="s">
        <v>3760</v>
      </c>
      <c r="B915" s="253" t="s">
        <v>3761</v>
      </c>
    </row>
    <row r="916" spans="1:2" x14ac:dyDescent="0.25">
      <c r="A916" s="252" t="s">
        <v>3762</v>
      </c>
      <c r="B916" s="253" t="s">
        <v>3763</v>
      </c>
    </row>
    <row r="917" spans="1:2" x14ac:dyDescent="0.25">
      <c r="A917" s="252" t="s">
        <v>3764</v>
      </c>
      <c r="B917" s="253" t="s">
        <v>3765</v>
      </c>
    </row>
    <row r="918" spans="1:2" x14ac:dyDescent="0.25">
      <c r="A918" s="252" t="s">
        <v>3766</v>
      </c>
      <c r="B918" s="253" t="s">
        <v>3767</v>
      </c>
    </row>
    <row r="919" spans="1:2" x14ac:dyDescent="0.25">
      <c r="A919" s="252" t="s">
        <v>3768</v>
      </c>
      <c r="B919" s="253" t="s">
        <v>3769</v>
      </c>
    </row>
    <row r="920" spans="1:2" x14ac:dyDescent="0.25">
      <c r="A920" s="252" t="s">
        <v>3770</v>
      </c>
      <c r="B920" s="253" t="s">
        <v>3771</v>
      </c>
    </row>
    <row r="921" spans="1:2" x14ac:dyDescent="0.25">
      <c r="A921" s="252" t="s">
        <v>3772</v>
      </c>
      <c r="B921" s="253" t="s">
        <v>3773</v>
      </c>
    </row>
    <row r="922" spans="1:2" x14ac:dyDescent="0.25">
      <c r="A922" s="252" t="s">
        <v>3774</v>
      </c>
      <c r="B922" s="253" t="s">
        <v>3775</v>
      </c>
    </row>
    <row r="923" spans="1:2" x14ac:dyDescent="0.25">
      <c r="A923" s="252" t="s">
        <v>3776</v>
      </c>
      <c r="B923" s="253" t="s">
        <v>3777</v>
      </c>
    </row>
    <row r="924" spans="1:2" x14ac:dyDescent="0.25">
      <c r="A924" s="252" t="s">
        <v>3778</v>
      </c>
      <c r="B924" s="253" t="s">
        <v>3779</v>
      </c>
    </row>
    <row r="925" spans="1:2" x14ac:dyDescent="0.25">
      <c r="A925" s="252" t="s">
        <v>3780</v>
      </c>
      <c r="B925" s="253" t="s">
        <v>3781</v>
      </c>
    </row>
    <row r="926" spans="1:2" x14ac:dyDescent="0.25">
      <c r="A926" s="252" t="s">
        <v>3782</v>
      </c>
      <c r="B926" s="253" t="s">
        <v>3783</v>
      </c>
    </row>
    <row r="927" spans="1:2" x14ac:dyDescent="0.25">
      <c r="A927" s="252" t="s">
        <v>3784</v>
      </c>
      <c r="B927" s="253" t="s">
        <v>3785</v>
      </c>
    </row>
    <row r="928" spans="1:2" x14ac:dyDescent="0.25">
      <c r="A928" s="252" t="s">
        <v>3786</v>
      </c>
      <c r="B928" s="253" t="s">
        <v>3787</v>
      </c>
    </row>
    <row r="929" spans="1:2" x14ac:dyDescent="0.25">
      <c r="A929" s="252" t="s">
        <v>3788</v>
      </c>
      <c r="B929" s="253" t="s">
        <v>3789</v>
      </c>
    </row>
    <row r="930" spans="1:2" x14ac:dyDescent="0.25">
      <c r="A930" s="252" t="s">
        <v>3790</v>
      </c>
      <c r="B930" s="253" t="s">
        <v>3791</v>
      </c>
    </row>
    <row r="931" spans="1:2" x14ac:dyDescent="0.25">
      <c r="A931" s="252" t="s">
        <v>3792</v>
      </c>
      <c r="B931" s="253" t="s">
        <v>3793</v>
      </c>
    </row>
    <row r="932" spans="1:2" x14ac:dyDescent="0.25">
      <c r="A932" s="252" t="s">
        <v>3794</v>
      </c>
      <c r="B932" s="253" t="s">
        <v>3795</v>
      </c>
    </row>
    <row r="933" spans="1:2" x14ac:dyDescent="0.25">
      <c r="A933" s="252" t="s">
        <v>3796</v>
      </c>
      <c r="B933" s="253" t="s">
        <v>3797</v>
      </c>
    </row>
    <row r="934" spans="1:2" x14ac:dyDescent="0.25">
      <c r="A934" s="252" t="s">
        <v>3798</v>
      </c>
      <c r="B934" s="253" t="s">
        <v>3799</v>
      </c>
    </row>
    <row r="935" spans="1:2" x14ac:dyDescent="0.25">
      <c r="A935" s="252" t="s">
        <v>3800</v>
      </c>
      <c r="B935" s="253" t="s">
        <v>3801</v>
      </c>
    </row>
    <row r="936" spans="1:2" x14ac:dyDescent="0.25">
      <c r="A936" s="252" t="s">
        <v>3802</v>
      </c>
      <c r="B936" s="253" t="s">
        <v>3803</v>
      </c>
    </row>
    <row r="937" spans="1:2" x14ac:dyDescent="0.25">
      <c r="A937" s="252" t="s">
        <v>3804</v>
      </c>
      <c r="B937" s="253" t="s">
        <v>3805</v>
      </c>
    </row>
    <row r="938" spans="1:2" x14ac:dyDescent="0.25">
      <c r="A938" s="252" t="s">
        <v>3806</v>
      </c>
      <c r="B938" s="253" t="s">
        <v>3807</v>
      </c>
    </row>
    <row r="939" spans="1:2" x14ac:dyDescent="0.25">
      <c r="A939" s="252" t="s">
        <v>3808</v>
      </c>
      <c r="B939" s="253" t="s">
        <v>3809</v>
      </c>
    </row>
    <row r="940" spans="1:2" x14ac:dyDescent="0.25">
      <c r="A940" s="252" t="s">
        <v>3810</v>
      </c>
      <c r="B940" s="253" t="s">
        <v>3811</v>
      </c>
    </row>
    <row r="941" spans="1:2" x14ac:dyDescent="0.25">
      <c r="A941" s="252" t="s">
        <v>3812</v>
      </c>
      <c r="B941" s="253" t="s">
        <v>3813</v>
      </c>
    </row>
    <row r="942" spans="1:2" x14ac:dyDescent="0.25">
      <c r="A942" s="252" t="s">
        <v>3814</v>
      </c>
      <c r="B942" s="253" t="s">
        <v>3815</v>
      </c>
    </row>
    <row r="943" spans="1:2" x14ac:dyDescent="0.25">
      <c r="A943" s="252" t="s">
        <v>3816</v>
      </c>
      <c r="B943" s="253" t="s">
        <v>3817</v>
      </c>
    </row>
    <row r="944" spans="1:2" x14ac:dyDescent="0.25">
      <c r="A944" s="252" t="s">
        <v>3818</v>
      </c>
      <c r="B944" s="253" t="s">
        <v>3819</v>
      </c>
    </row>
    <row r="945" spans="1:2" x14ac:dyDescent="0.25">
      <c r="A945" s="252" t="s">
        <v>3820</v>
      </c>
      <c r="B945" s="253" t="s">
        <v>3821</v>
      </c>
    </row>
    <row r="946" spans="1:2" x14ac:dyDescent="0.25">
      <c r="A946" s="252" t="s">
        <v>3822</v>
      </c>
      <c r="B946" s="253" t="s">
        <v>3823</v>
      </c>
    </row>
    <row r="947" spans="1:2" x14ac:dyDescent="0.25">
      <c r="A947" s="252" t="s">
        <v>3824</v>
      </c>
      <c r="B947" s="253" t="s">
        <v>3825</v>
      </c>
    </row>
    <row r="948" spans="1:2" x14ac:dyDescent="0.25">
      <c r="A948" s="252" t="s">
        <v>3826</v>
      </c>
      <c r="B948" s="253" t="s">
        <v>3827</v>
      </c>
    </row>
    <row r="949" spans="1:2" x14ac:dyDescent="0.25">
      <c r="A949" s="252" t="s">
        <v>3828</v>
      </c>
      <c r="B949" s="253" t="s">
        <v>3829</v>
      </c>
    </row>
    <row r="950" spans="1:2" x14ac:dyDescent="0.25">
      <c r="A950" s="252" t="s">
        <v>3830</v>
      </c>
      <c r="B950" s="253" t="s">
        <v>3831</v>
      </c>
    </row>
    <row r="951" spans="1:2" x14ac:dyDescent="0.25">
      <c r="A951" s="252" t="s">
        <v>3832</v>
      </c>
      <c r="B951" s="253" t="s">
        <v>3833</v>
      </c>
    </row>
    <row r="952" spans="1:2" x14ac:dyDescent="0.25">
      <c r="A952" s="252" t="s">
        <v>3834</v>
      </c>
      <c r="B952" s="253" t="s">
        <v>3835</v>
      </c>
    </row>
    <row r="953" spans="1:2" x14ac:dyDescent="0.25">
      <c r="A953" s="252" t="s">
        <v>3836</v>
      </c>
      <c r="B953" s="253" t="s">
        <v>3837</v>
      </c>
    </row>
    <row r="954" spans="1:2" x14ac:dyDescent="0.25">
      <c r="A954" s="252" t="s">
        <v>3838</v>
      </c>
      <c r="B954" s="253" t="s">
        <v>3839</v>
      </c>
    </row>
    <row r="955" spans="1:2" x14ac:dyDescent="0.25">
      <c r="A955" s="252" t="s">
        <v>3840</v>
      </c>
      <c r="B955" s="253" t="s">
        <v>3841</v>
      </c>
    </row>
    <row r="956" spans="1:2" x14ac:dyDescent="0.25">
      <c r="A956" s="252" t="s">
        <v>3842</v>
      </c>
      <c r="B956" s="253" t="s">
        <v>3843</v>
      </c>
    </row>
    <row r="957" spans="1:2" x14ac:dyDescent="0.25">
      <c r="A957" s="252" t="s">
        <v>3844</v>
      </c>
      <c r="B957" s="253" t="s">
        <v>3845</v>
      </c>
    </row>
    <row r="958" spans="1:2" x14ac:dyDescent="0.25">
      <c r="A958" s="252" t="s">
        <v>3846</v>
      </c>
      <c r="B958" s="253" t="s">
        <v>3847</v>
      </c>
    </row>
    <row r="959" spans="1:2" x14ac:dyDescent="0.25">
      <c r="A959" s="252" t="s">
        <v>3848</v>
      </c>
      <c r="B959" s="253" t="s">
        <v>3849</v>
      </c>
    </row>
    <row r="960" spans="1:2" x14ac:dyDescent="0.25">
      <c r="A960" s="252" t="s">
        <v>3850</v>
      </c>
      <c r="B960" s="253" t="s">
        <v>3851</v>
      </c>
    </row>
    <row r="961" spans="1:2" x14ac:dyDescent="0.25">
      <c r="A961" s="252" t="s">
        <v>3852</v>
      </c>
      <c r="B961" s="253" t="s">
        <v>3853</v>
      </c>
    </row>
    <row r="962" spans="1:2" x14ac:dyDescent="0.25">
      <c r="A962" s="252" t="s">
        <v>3854</v>
      </c>
      <c r="B962" s="253" t="s">
        <v>3855</v>
      </c>
    </row>
    <row r="963" spans="1:2" x14ac:dyDescent="0.25">
      <c r="A963" s="252" t="s">
        <v>3856</v>
      </c>
      <c r="B963" s="253" t="s">
        <v>3857</v>
      </c>
    </row>
    <row r="964" spans="1:2" x14ac:dyDescent="0.25">
      <c r="A964" s="252" t="s">
        <v>3858</v>
      </c>
      <c r="B964" s="253" t="s">
        <v>3859</v>
      </c>
    </row>
    <row r="965" spans="1:2" x14ac:dyDescent="0.25">
      <c r="A965" s="252" t="s">
        <v>3860</v>
      </c>
      <c r="B965" s="253" t="s">
        <v>3861</v>
      </c>
    </row>
    <row r="966" spans="1:2" x14ac:dyDescent="0.25">
      <c r="A966" s="252" t="s">
        <v>3862</v>
      </c>
      <c r="B966" s="253" t="s">
        <v>3863</v>
      </c>
    </row>
    <row r="967" spans="1:2" x14ac:dyDescent="0.25">
      <c r="A967" s="252" t="s">
        <v>3864</v>
      </c>
      <c r="B967" s="253" t="s">
        <v>3865</v>
      </c>
    </row>
    <row r="968" spans="1:2" x14ac:dyDescent="0.25">
      <c r="A968" s="252" t="s">
        <v>3866</v>
      </c>
      <c r="B968" s="253" t="s">
        <v>3867</v>
      </c>
    </row>
    <row r="969" spans="1:2" x14ac:dyDescent="0.25">
      <c r="A969" s="252" t="s">
        <v>3868</v>
      </c>
      <c r="B969" s="253" t="s">
        <v>3869</v>
      </c>
    </row>
    <row r="970" spans="1:2" x14ac:dyDescent="0.25">
      <c r="A970" s="252" t="s">
        <v>3870</v>
      </c>
      <c r="B970" s="253" t="s">
        <v>3871</v>
      </c>
    </row>
    <row r="971" spans="1:2" x14ac:dyDescent="0.25">
      <c r="A971" s="252" t="s">
        <v>3872</v>
      </c>
      <c r="B971" s="253" t="s">
        <v>3873</v>
      </c>
    </row>
    <row r="972" spans="1:2" x14ac:dyDescent="0.25">
      <c r="A972" s="252" t="s">
        <v>3874</v>
      </c>
      <c r="B972" s="253" t="s">
        <v>3875</v>
      </c>
    </row>
    <row r="973" spans="1:2" x14ac:dyDescent="0.25">
      <c r="A973" s="252" t="s">
        <v>3876</v>
      </c>
      <c r="B973" s="253" t="s">
        <v>3877</v>
      </c>
    </row>
    <row r="974" spans="1:2" x14ac:dyDescent="0.25">
      <c r="A974" s="252" t="s">
        <v>3878</v>
      </c>
      <c r="B974" s="253" t="s">
        <v>3879</v>
      </c>
    </row>
    <row r="975" spans="1:2" x14ac:dyDescent="0.25">
      <c r="A975" s="252" t="s">
        <v>3880</v>
      </c>
      <c r="B975" s="253" t="s">
        <v>3881</v>
      </c>
    </row>
    <row r="976" spans="1:2" x14ac:dyDescent="0.25">
      <c r="A976" s="252" t="s">
        <v>3882</v>
      </c>
      <c r="B976" s="253" t="s">
        <v>3883</v>
      </c>
    </row>
    <row r="977" spans="1:2" x14ac:dyDescent="0.25">
      <c r="A977" s="252" t="s">
        <v>3884</v>
      </c>
      <c r="B977" s="253" t="s">
        <v>3885</v>
      </c>
    </row>
    <row r="978" spans="1:2" x14ac:dyDescent="0.25">
      <c r="A978" s="252" t="s">
        <v>3886</v>
      </c>
      <c r="B978" s="253" t="s">
        <v>3887</v>
      </c>
    </row>
    <row r="979" spans="1:2" x14ac:dyDescent="0.25">
      <c r="A979" s="252" t="s">
        <v>3888</v>
      </c>
      <c r="B979" s="253" t="s">
        <v>3889</v>
      </c>
    </row>
    <row r="980" spans="1:2" x14ac:dyDescent="0.25">
      <c r="A980" s="252" t="s">
        <v>3890</v>
      </c>
      <c r="B980" s="253" t="s">
        <v>3891</v>
      </c>
    </row>
    <row r="981" spans="1:2" x14ac:dyDescent="0.25">
      <c r="A981" s="252" t="s">
        <v>3892</v>
      </c>
      <c r="B981" s="253" t="s">
        <v>3893</v>
      </c>
    </row>
    <row r="982" spans="1:2" x14ac:dyDescent="0.25">
      <c r="A982" s="252" t="s">
        <v>3894</v>
      </c>
      <c r="B982" s="253" t="s">
        <v>3895</v>
      </c>
    </row>
    <row r="983" spans="1:2" x14ac:dyDescent="0.25">
      <c r="A983" s="252" t="s">
        <v>3896</v>
      </c>
      <c r="B983" s="253" t="s">
        <v>3897</v>
      </c>
    </row>
    <row r="984" spans="1:2" x14ac:dyDescent="0.25">
      <c r="A984" s="252" t="s">
        <v>3898</v>
      </c>
      <c r="B984" s="253" t="s">
        <v>3899</v>
      </c>
    </row>
    <row r="985" spans="1:2" x14ac:dyDescent="0.25">
      <c r="A985" s="252" t="s">
        <v>3900</v>
      </c>
      <c r="B985" s="253" t="s">
        <v>3901</v>
      </c>
    </row>
    <row r="986" spans="1:2" x14ac:dyDescent="0.25">
      <c r="A986" s="252" t="s">
        <v>3902</v>
      </c>
      <c r="B986" s="253" t="s">
        <v>3903</v>
      </c>
    </row>
    <row r="987" spans="1:2" x14ac:dyDescent="0.25">
      <c r="A987" s="252" t="s">
        <v>3904</v>
      </c>
      <c r="B987" s="253" t="s">
        <v>3905</v>
      </c>
    </row>
    <row r="988" spans="1:2" x14ac:dyDescent="0.25">
      <c r="A988" s="252" t="s">
        <v>3906</v>
      </c>
      <c r="B988" s="253" t="s">
        <v>3907</v>
      </c>
    </row>
    <row r="989" spans="1:2" x14ac:dyDescent="0.25">
      <c r="A989" s="252" t="s">
        <v>3908</v>
      </c>
      <c r="B989" s="253" t="s">
        <v>3909</v>
      </c>
    </row>
    <row r="990" spans="1:2" x14ac:dyDescent="0.25">
      <c r="A990" s="252" t="s">
        <v>3910</v>
      </c>
      <c r="B990" s="253" t="s">
        <v>3911</v>
      </c>
    </row>
    <row r="991" spans="1:2" x14ac:dyDescent="0.25">
      <c r="A991" s="252" t="s">
        <v>3912</v>
      </c>
      <c r="B991" s="253" t="s">
        <v>3913</v>
      </c>
    </row>
    <row r="992" spans="1:2" x14ac:dyDescent="0.25">
      <c r="A992" s="252" t="s">
        <v>3914</v>
      </c>
      <c r="B992" s="253" t="s">
        <v>3915</v>
      </c>
    </row>
    <row r="993" spans="1:2" x14ac:dyDescent="0.25">
      <c r="A993" s="252" t="s">
        <v>3916</v>
      </c>
      <c r="B993" s="253" t="s">
        <v>3917</v>
      </c>
    </row>
    <row r="994" spans="1:2" x14ac:dyDescent="0.25">
      <c r="A994" s="252" t="s">
        <v>3918</v>
      </c>
      <c r="B994" s="253" t="s">
        <v>3919</v>
      </c>
    </row>
    <row r="995" spans="1:2" x14ac:dyDescent="0.25">
      <c r="A995" s="252" t="s">
        <v>3920</v>
      </c>
      <c r="B995" s="253" t="s">
        <v>3921</v>
      </c>
    </row>
    <row r="996" spans="1:2" x14ac:dyDescent="0.25">
      <c r="A996" s="252" t="s">
        <v>3922</v>
      </c>
      <c r="B996" s="253" t="s">
        <v>3923</v>
      </c>
    </row>
    <row r="997" spans="1:2" x14ac:dyDescent="0.25">
      <c r="A997" s="256" t="s">
        <v>435</v>
      </c>
      <c r="B997" s="253" t="s">
        <v>3924</v>
      </c>
    </row>
    <row r="998" spans="1:2" x14ac:dyDescent="0.25">
      <c r="A998" s="256" t="s">
        <v>440</v>
      </c>
      <c r="B998" s="253" t="s">
        <v>3925</v>
      </c>
    </row>
    <row r="999" spans="1:2" x14ac:dyDescent="0.25">
      <c r="A999" s="256" t="s">
        <v>850</v>
      </c>
      <c r="B999" s="253" t="s">
        <v>3926</v>
      </c>
    </row>
    <row r="1000" spans="1:2" x14ac:dyDescent="0.25">
      <c r="A1000" s="256" t="s">
        <v>3927</v>
      </c>
      <c r="B1000" s="253" t="s">
        <v>3928</v>
      </c>
    </row>
    <row r="1001" spans="1:2" x14ac:dyDescent="0.25">
      <c r="A1001" s="256" t="s">
        <v>3929</v>
      </c>
      <c r="B1001" s="253" t="s">
        <v>3930</v>
      </c>
    </row>
    <row r="1002" spans="1:2" x14ac:dyDescent="0.25">
      <c r="A1002" s="256" t="s">
        <v>3931</v>
      </c>
      <c r="B1002" s="253" t="s">
        <v>3932</v>
      </c>
    </row>
    <row r="1003" spans="1:2" x14ac:dyDescent="0.25">
      <c r="A1003" s="256" t="s">
        <v>3933</v>
      </c>
      <c r="B1003" s="253" t="s">
        <v>3934</v>
      </c>
    </row>
    <row r="1004" spans="1:2" x14ac:dyDescent="0.25">
      <c r="A1004" s="256" t="s">
        <v>3935</v>
      </c>
      <c r="B1004" s="253" t="s">
        <v>3936</v>
      </c>
    </row>
    <row r="1005" spans="1:2" x14ac:dyDescent="0.25">
      <c r="A1005" s="256" t="s">
        <v>3937</v>
      </c>
      <c r="B1005" s="253" t="s">
        <v>3934</v>
      </c>
    </row>
    <row r="1006" spans="1:2" x14ac:dyDescent="0.25">
      <c r="A1006" s="256" t="s">
        <v>3938</v>
      </c>
      <c r="B1006" s="253" t="s">
        <v>3936</v>
      </c>
    </row>
    <row r="1007" spans="1:2" x14ac:dyDescent="0.25">
      <c r="A1007" s="256" t="s">
        <v>3939</v>
      </c>
      <c r="B1007" s="253" t="s">
        <v>3940</v>
      </c>
    </row>
    <row r="1008" spans="1:2" x14ac:dyDescent="0.25">
      <c r="A1008" s="256" t="s">
        <v>3941</v>
      </c>
      <c r="B1008" s="253" t="s">
        <v>3936</v>
      </c>
    </row>
    <row r="1009" spans="1:2" x14ac:dyDescent="0.25">
      <c r="A1009" s="256" t="s">
        <v>3942</v>
      </c>
      <c r="B1009" s="253" t="s">
        <v>3943</v>
      </c>
    </row>
    <row r="1010" spans="1:2" x14ac:dyDescent="0.25">
      <c r="A1010" s="256" t="s">
        <v>3944</v>
      </c>
      <c r="B1010" s="253" t="s">
        <v>3945</v>
      </c>
    </row>
    <row r="1011" spans="1:2" x14ac:dyDescent="0.25">
      <c r="A1011" s="256" t="s">
        <v>3946</v>
      </c>
      <c r="B1011" s="253" t="s">
        <v>3947</v>
      </c>
    </row>
    <row r="1012" spans="1:2" x14ac:dyDescent="0.25">
      <c r="A1012" s="256" t="s">
        <v>3948</v>
      </c>
      <c r="B1012" s="253" t="s">
        <v>3949</v>
      </c>
    </row>
    <row r="1013" spans="1:2" x14ac:dyDescent="0.25">
      <c r="A1013" s="256" t="s">
        <v>3950</v>
      </c>
      <c r="B1013" s="253" t="s">
        <v>3951</v>
      </c>
    </row>
    <row r="1014" spans="1:2" x14ac:dyDescent="0.25">
      <c r="A1014" s="256" t="s">
        <v>3952</v>
      </c>
      <c r="B1014" s="253" t="s">
        <v>3953</v>
      </c>
    </row>
    <row r="1015" spans="1:2" x14ac:dyDescent="0.25">
      <c r="A1015" s="256" t="s">
        <v>3954</v>
      </c>
      <c r="B1015" s="253" t="s">
        <v>3955</v>
      </c>
    </row>
    <row r="1016" spans="1:2" x14ac:dyDescent="0.25">
      <c r="A1016" s="256" t="s">
        <v>3956</v>
      </c>
      <c r="B1016" s="253" t="s">
        <v>3957</v>
      </c>
    </row>
    <row r="1017" spans="1:2" x14ac:dyDescent="0.25">
      <c r="A1017" s="256" t="s">
        <v>3958</v>
      </c>
      <c r="B1017" s="253" t="s">
        <v>3959</v>
      </c>
    </row>
    <row r="1018" spans="1:2" x14ac:dyDescent="0.25">
      <c r="A1018" s="256" t="s">
        <v>3960</v>
      </c>
      <c r="B1018" s="253" t="s">
        <v>3961</v>
      </c>
    </row>
    <row r="1019" spans="1:2" x14ac:dyDescent="0.25">
      <c r="A1019" s="256" t="s">
        <v>3962</v>
      </c>
      <c r="B1019" s="253" t="s">
        <v>3963</v>
      </c>
    </row>
    <row r="1020" spans="1:2" x14ac:dyDescent="0.25">
      <c r="A1020" s="256" t="s">
        <v>3964</v>
      </c>
      <c r="B1020" s="253" t="s">
        <v>3965</v>
      </c>
    </row>
    <row r="1021" spans="1:2" x14ac:dyDescent="0.25">
      <c r="A1021" s="256" t="s">
        <v>3966</v>
      </c>
      <c r="B1021" s="253" t="s">
        <v>3967</v>
      </c>
    </row>
    <row r="1022" spans="1:2" x14ac:dyDescent="0.25">
      <c r="A1022" s="256" t="s">
        <v>3968</v>
      </c>
      <c r="B1022" s="253" t="s">
        <v>3969</v>
      </c>
    </row>
    <row r="1023" spans="1:2" x14ac:dyDescent="0.25">
      <c r="A1023" s="256" t="s">
        <v>3970</v>
      </c>
      <c r="B1023" s="253" t="s">
        <v>3971</v>
      </c>
    </row>
    <row r="1024" spans="1:2" x14ac:dyDescent="0.25">
      <c r="A1024" s="256" t="s">
        <v>3972</v>
      </c>
      <c r="B1024" s="253" t="s">
        <v>3973</v>
      </c>
    </row>
    <row r="1025" spans="1:2" x14ac:dyDescent="0.25">
      <c r="A1025" s="256" t="s">
        <v>3974</v>
      </c>
      <c r="B1025" s="253" t="s">
        <v>3975</v>
      </c>
    </row>
    <row r="1026" spans="1:2" x14ac:dyDescent="0.25">
      <c r="A1026" s="256" t="s">
        <v>3976</v>
      </c>
      <c r="B1026" s="253" t="s">
        <v>3977</v>
      </c>
    </row>
    <row r="1027" spans="1:2" x14ac:dyDescent="0.25">
      <c r="A1027" s="256" t="s">
        <v>3978</v>
      </c>
      <c r="B1027" s="253" t="s">
        <v>3979</v>
      </c>
    </row>
    <row r="1028" spans="1:2" x14ac:dyDescent="0.25">
      <c r="A1028" s="256" t="s">
        <v>3980</v>
      </c>
      <c r="B1028" s="253" t="s">
        <v>3981</v>
      </c>
    </row>
    <row r="1029" spans="1:2" x14ac:dyDescent="0.25">
      <c r="A1029" s="256" t="s">
        <v>3982</v>
      </c>
      <c r="B1029" s="253" t="s">
        <v>3983</v>
      </c>
    </row>
    <row r="1030" spans="1:2" x14ac:dyDescent="0.25">
      <c r="A1030" s="256" t="s">
        <v>3984</v>
      </c>
      <c r="B1030" s="253" t="s">
        <v>3985</v>
      </c>
    </row>
    <row r="1031" spans="1:2" x14ac:dyDescent="0.25">
      <c r="A1031" s="256" t="s">
        <v>3986</v>
      </c>
      <c r="B1031" s="253" t="s">
        <v>3257</v>
      </c>
    </row>
    <row r="1032" spans="1:2" x14ac:dyDescent="0.25">
      <c r="A1032" s="256" t="s">
        <v>3987</v>
      </c>
      <c r="B1032" s="257" t="s">
        <v>3988</v>
      </c>
    </row>
    <row r="1033" spans="1:2" x14ac:dyDescent="0.25">
      <c r="A1033" s="256" t="s">
        <v>3989</v>
      </c>
      <c r="B1033" s="257" t="s">
        <v>3990</v>
      </c>
    </row>
    <row r="1034" spans="1:2" x14ac:dyDescent="0.25">
      <c r="A1034" s="256" t="s">
        <v>3991</v>
      </c>
      <c r="B1034" s="257" t="s">
        <v>3992</v>
      </c>
    </row>
    <row r="1035" spans="1:2" x14ac:dyDescent="0.25">
      <c r="A1035" s="256" t="s">
        <v>3993</v>
      </c>
      <c r="B1035" s="257" t="s">
        <v>3994</v>
      </c>
    </row>
    <row r="1036" spans="1:2" x14ac:dyDescent="0.25">
      <c r="A1036" s="256" t="s">
        <v>3995</v>
      </c>
      <c r="B1036" s="257" t="s">
        <v>3990</v>
      </c>
    </row>
    <row r="1037" spans="1:2" x14ac:dyDescent="0.25">
      <c r="A1037" s="256" t="s">
        <v>3996</v>
      </c>
      <c r="B1037" s="257" t="s">
        <v>3997</v>
      </c>
    </row>
    <row r="1038" spans="1:2" x14ac:dyDescent="0.25">
      <c r="A1038" s="256" t="s">
        <v>3998</v>
      </c>
      <c r="B1038" s="257" t="s">
        <v>3999</v>
      </c>
    </row>
    <row r="1039" spans="1:2" x14ac:dyDescent="0.25">
      <c r="A1039" s="256" t="s">
        <v>4000</v>
      </c>
      <c r="B1039" s="257" t="s">
        <v>4001</v>
      </c>
    </row>
    <row r="1040" spans="1:2" x14ac:dyDescent="0.25">
      <c r="A1040" s="256" t="s">
        <v>4002</v>
      </c>
      <c r="B1040" s="257" t="s">
        <v>4003</v>
      </c>
    </row>
    <row r="1041" spans="1:2" x14ac:dyDescent="0.25">
      <c r="A1041" s="256" t="s">
        <v>4004</v>
      </c>
      <c r="B1041" s="257" t="s">
        <v>4005</v>
      </c>
    </row>
    <row r="1042" spans="1:2" x14ac:dyDescent="0.25">
      <c r="A1042" s="256" t="s">
        <v>4006</v>
      </c>
      <c r="B1042" s="257" t="s">
        <v>4001</v>
      </c>
    </row>
    <row r="1043" spans="1:2" x14ac:dyDescent="0.25">
      <c r="A1043" s="256" t="s">
        <v>4007</v>
      </c>
      <c r="B1043" s="257" t="s">
        <v>4008</v>
      </c>
    </row>
    <row r="1044" spans="1:2" x14ac:dyDescent="0.25">
      <c r="A1044" s="256" t="s">
        <v>4009</v>
      </c>
      <c r="B1044" s="257" t="s">
        <v>4010</v>
      </c>
    </row>
    <row r="1045" spans="1:2" x14ac:dyDescent="0.25">
      <c r="A1045" s="256" t="s">
        <v>4011</v>
      </c>
      <c r="B1045" s="257" t="s">
        <v>3990</v>
      </c>
    </row>
    <row r="1046" spans="1:2" x14ac:dyDescent="0.25">
      <c r="A1046" s="256" t="s">
        <v>4012</v>
      </c>
      <c r="B1046" s="257" t="s">
        <v>4013</v>
      </c>
    </row>
    <row r="1047" spans="1:2" x14ac:dyDescent="0.25">
      <c r="A1047" s="256" t="s">
        <v>4014</v>
      </c>
      <c r="B1047" s="255" t="s">
        <v>4015</v>
      </c>
    </row>
    <row r="1048" spans="1:2" x14ac:dyDescent="0.25">
      <c r="A1048" s="256" t="s">
        <v>4016</v>
      </c>
      <c r="B1048" s="257" t="s">
        <v>4017</v>
      </c>
    </row>
    <row r="1049" spans="1:2" x14ac:dyDescent="0.25">
      <c r="A1049" s="256" t="s">
        <v>4018</v>
      </c>
      <c r="B1049" s="257" t="s">
        <v>4019</v>
      </c>
    </row>
    <row r="1050" spans="1:2" x14ac:dyDescent="0.25">
      <c r="A1050" s="256" t="s">
        <v>4020</v>
      </c>
      <c r="B1050" s="257" t="s">
        <v>4001</v>
      </c>
    </row>
    <row r="1051" spans="1:2" x14ac:dyDescent="0.25">
      <c r="A1051" s="256" t="s">
        <v>4021</v>
      </c>
      <c r="B1051" s="257" t="s">
        <v>4022</v>
      </c>
    </row>
    <row r="1052" spans="1:2" x14ac:dyDescent="0.25">
      <c r="A1052" s="256" t="s">
        <v>4023</v>
      </c>
      <c r="B1052" s="257" t="s">
        <v>4019</v>
      </c>
    </row>
    <row r="1053" spans="1:2" x14ac:dyDescent="0.25">
      <c r="A1053" s="256" t="s">
        <v>4024</v>
      </c>
      <c r="B1053" s="257" t="s">
        <v>3990</v>
      </c>
    </row>
    <row r="1054" spans="1:2" x14ac:dyDescent="0.25">
      <c r="A1054" s="256" t="s">
        <v>4025</v>
      </c>
      <c r="B1054" s="257" t="s">
        <v>4026</v>
      </c>
    </row>
    <row r="1055" spans="1:2" x14ac:dyDescent="0.25">
      <c r="A1055" s="256" t="s">
        <v>4027</v>
      </c>
      <c r="B1055" s="257" t="s">
        <v>4010</v>
      </c>
    </row>
    <row r="1056" spans="1:2" x14ac:dyDescent="0.25">
      <c r="A1056" s="256" t="s">
        <v>4028</v>
      </c>
      <c r="B1056" s="257" t="s">
        <v>4001</v>
      </c>
    </row>
    <row r="1057" spans="1:2" x14ac:dyDescent="0.25">
      <c r="A1057" s="256" t="s">
        <v>4029</v>
      </c>
      <c r="B1057" s="257" t="s">
        <v>4030</v>
      </c>
    </row>
    <row r="1058" spans="1:2" x14ac:dyDescent="0.25">
      <c r="A1058" s="256" t="s">
        <v>4031</v>
      </c>
      <c r="B1058" s="257" t="s">
        <v>4032</v>
      </c>
    </row>
    <row r="1059" spans="1:2" x14ac:dyDescent="0.25">
      <c r="A1059" s="256" t="s">
        <v>4033</v>
      </c>
      <c r="B1059" s="257" t="s">
        <v>4010</v>
      </c>
    </row>
    <row r="1060" spans="1:2" x14ac:dyDescent="0.25">
      <c r="A1060" s="256" t="s">
        <v>4034</v>
      </c>
      <c r="B1060" s="257" t="s">
        <v>4035</v>
      </c>
    </row>
    <row r="1061" spans="1:2" x14ac:dyDescent="0.25">
      <c r="A1061" s="256" t="s">
        <v>4036</v>
      </c>
      <c r="B1061" s="257" t="s">
        <v>4037</v>
      </c>
    </row>
    <row r="1062" spans="1:2" x14ac:dyDescent="0.25">
      <c r="A1062" s="256" t="s">
        <v>4038</v>
      </c>
      <c r="B1062" s="257" t="s">
        <v>4010</v>
      </c>
    </row>
    <row r="1063" spans="1:2" x14ac:dyDescent="0.25">
      <c r="A1063" s="256" t="s">
        <v>4039</v>
      </c>
      <c r="B1063" s="257" t="s">
        <v>4001</v>
      </c>
    </row>
    <row r="1064" spans="1:2" x14ac:dyDescent="0.25">
      <c r="A1064" s="256" t="s">
        <v>4040</v>
      </c>
      <c r="B1064" s="257" t="s">
        <v>3926</v>
      </c>
    </row>
    <row r="1065" spans="1:2" x14ac:dyDescent="0.25">
      <c r="A1065" s="256" t="s">
        <v>4041</v>
      </c>
      <c r="B1065" s="257" t="s">
        <v>4042</v>
      </c>
    </row>
    <row r="1066" spans="1:2" x14ac:dyDescent="0.25">
      <c r="A1066" s="256" t="s">
        <v>4043</v>
      </c>
      <c r="B1066" s="257" t="s">
        <v>4044</v>
      </c>
    </row>
    <row r="1067" spans="1:2" x14ac:dyDescent="0.25">
      <c r="A1067" s="256" t="s">
        <v>4045</v>
      </c>
      <c r="B1067" s="257" t="s">
        <v>4046</v>
      </c>
    </row>
    <row r="1068" spans="1:2" x14ac:dyDescent="0.25">
      <c r="A1068" s="256" t="s">
        <v>4047</v>
      </c>
      <c r="B1068" s="257" t="s">
        <v>4048</v>
      </c>
    </row>
    <row r="1069" spans="1:2" x14ac:dyDescent="0.25">
      <c r="A1069" s="256" t="s">
        <v>4049</v>
      </c>
      <c r="B1069" s="257" t="s">
        <v>4050</v>
      </c>
    </row>
    <row r="1070" spans="1:2" x14ac:dyDescent="0.25">
      <c r="A1070" s="256" t="s">
        <v>4051</v>
      </c>
      <c r="B1070" s="257" t="s">
        <v>4052</v>
      </c>
    </row>
    <row r="1071" spans="1:2" x14ac:dyDescent="0.25">
      <c r="A1071" s="256" t="s">
        <v>4053</v>
      </c>
      <c r="B1071" s="257" t="s">
        <v>4054</v>
      </c>
    </row>
    <row r="1072" spans="1:2" x14ac:dyDescent="0.25">
      <c r="A1072" s="256" t="s">
        <v>4055</v>
      </c>
      <c r="B1072" s="257" t="s">
        <v>4056</v>
      </c>
    </row>
    <row r="1073" spans="1:2" x14ac:dyDescent="0.25">
      <c r="A1073" s="256" t="s">
        <v>4057</v>
      </c>
      <c r="B1073" s="257" t="s">
        <v>4058</v>
      </c>
    </row>
    <row r="1074" spans="1:2" x14ac:dyDescent="0.25">
      <c r="A1074" s="256" t="s">
        <v>4059</v>
      </c>
      <c r="B1074" s="257" t="s">
        <v>4052</v>
      </c>
    </row>
    <row r="1075" spans="1:2" x14ac:dyDescent="0.25">
      <c r="A1075" s="256" t="s">
        <v>4060</v>
      </c>
      <c r="B1075" s="257" t="s">
        <v>4061</v>
      </c>
    </row>
    <row r="1076" spans="1:2" x14ac:dyDescent="0.25">
      <c r="A1076" s="256" t="s">
        <v>4062</v>
      </c>
      <c r="B1076" s="257" t="s">
        <v>4063</v>
      </c>
    </row>
    <row r="1077" spans="1:2" x14ac:dyDescent="0.25">
      <c r="A1077" s="256" t="s">
        <v>4064</v>
      </c>
      <c r="B1077" s="257" t="s">
        <v>4065</v>
      </c>
    </row>
    <row r="1078" spans="1:2" x14ac:dyDescent="0.25">
      <c r="A1078" s="256" t="s">
        <v>4066</v>
      </c>
      <c r="B1078" s="257" t="s">
        <v>4067</v>
      </c>
    </row>
    <row r="1079" spans="1:2" x14ac:dyDescent="0.25">
      <c r="A1079" s="256" t="s">
        <v>4068</v>
      </c>
      <c r="B1079" s="257" t="s">
        <v>4069</v>
      </c>
    </row>
    <row r="1080" spans="1:2" x14ac:dyDescent="0.25">
      <c r="A1080" s="256" t="s">
        <v>4070</v>
      </c>
      <c r="B1080" s="257" t="s">
        <v>4067</v>
      </c>
    </row>
    <row r="1081" spans="1:2" x14ac:dyDescent="0.25">
      <c r="A1081" s="256" t="s">
        <v>4071</v>
      </c>
      <c r="B1081" s="257" t="s">
        <v>4072</v>
      </c>
    </row>
    <row r="1082" spans="1:2" x14ac:dyDescent="0.25">
      <c r="A1082" s="256" t="s">
        <v>4073</v>
      </c>
      <c r="B1082" s="257" t="s">
        <v>4074</v>
      </c>
    </row>
    <row r="1083" spans="1:2" x14ac:dyDescent="0.25">
      <c r="A1083" s="256" t="s">
        <v>4075</v>
      </c>
      <c r="B1083" s="257" t="s">
        <v>4076</v>
      </c>
    </row>
    <row r="1084" spans="1:2" x14ac:dyDescent="0.25">
      <c r="A1084" s="256" t="s">
        <v>4077</v>
      </c>
      <c r="B1084" s="257" t="s">
        <v>4078</v>
      </c>
    </row>
    <row r="1085" spans="1:2" x14ac:dyDescent="0.25">
      <c r="A1085" s="256" t="s">
        <v>4079</v>
      </c>
      <c r="B1085" s="257" t="s">
        <v>4080</v>
      </c>
    </row>
    <row r="1086" spans="1:2" x14ac:dyDescent="0.25">
      <c r="A1086" s="256" t="s">
        <v>4081</v>
      </c>
      <c r="B1086" s="257" t="s">
        <v>4082</v>
      </c>
    </row>
    <row r="1087" spans="1:2" x14ac:dyDescent="0.25">
      <c r="A1087" s="256" t="s">
        <v>4083</v>
      </c>
      <c r="B1087" s="257" t="s">
        <v>4084</v>
      </c>
    </row>
    <row r="1088" spans="1:2" x14ac:dyDescent="0.25">
      <c r="A1088" s="256" t="s">
        <v>4085</v>
      </c>
      <c r="B1088" s="257" t="s">
        <v>4086</v>
      </c>
    </row>
    <row r="1089" spans="1:2" x14ac:dyDescent="0.25">
      <c r="A1089" s="256" t="s">
        <v>4087</v>
      </c>
      <c r="B1089" s="257" t="s">
        <v>4088</v>
      </c>
    </row>
    <row r="1090" spans="1:2" x14ac:dyDescent="0.25">
      <c r="A1090" s="256" t="s">
        <v>4089</v>
      </c>
      <c r="B1090" s="257" t="s">
        <v>4090</v>
      </c>
    </row>
    <row r="1091" spans="1:2" x14ac:dyDescent="0.25">
      <c r="A1091" s="256" t="s">
        <v>4091</v>
      </c>
      <c r="B1091" s="257" t="s">
        <v>4092</v>
      </c>
    </row>
    <row r="1092" spans="1:2" x14ac:dyDescent="0.25">
      <c r="A1092" s="256" t="s">
        <v>4093</v>
      </c>
      <c r="B1092" s="257" t="s">
        <v>4094</v>
      </c>
    </row>
    <row r="1093" spans="1:2" x14ac:dyDescent="0.25">
      <c r="A1093" s="256" t="s">
        <v>4095</v>
      </c>
      <c r="B1093" s="257" t="s">
        <v>4096</v>
      </c>
    </row>
    <row r="1094" spans="1:2" x14ac:dyDescent="0.25">
      <c r="A1094" s="256" t="s">
        <v>4097</v>
      </c>
      <c r="B1094" s="257" t="s">
        <v>4098</v>
      </c>
    </row>
    <row r="1095" spans="1:2" x14ac:dyDescent="0.25">
      <c r="A1095" s="256" t="s">
        <v>4099</v>
      </c>
      <c r="B1095" s="257" t="s">
        <v>4100</v>
      </c>
    </row>
    <row r="1096" spans="1:2" x14ac:dyDescent="0.25">
      <c r="A1096" s="256" t="s">
        <v>4101</v>
      </c>
      <c r="B1096" s="257" t="s">
        <v>4102</v>
      </c>
    </row>
    <row r="1097" spans="1:2" x14ac:dyDescent="0.25">
      <c r="A1097" s="256" t="s">
        <v>4103</v>
      </c>
      <c r="B1097" s="257" t="s">
        <v>4104</v>
      </c>
    </row>
    <row r="1098" spans="1:2" x14ac:dyDescent="0.25">
      <c r="A1098" s="256" t="s">
        <v>4105</v>
      </c>
      <c r="B1098" s="257" t="s">
        <v>4106</v>
      </c>
    </row>
    <row r="1099" spans="1:2" x14ac:dyDescent="0.25">
      <c r="A1099" s="256" t="s">
        <v>4107</v>
      </c>
      <c r="B1099" s="257" t="s">
        <v>4108</v>
      </c>
    </row>
    <row r="1100" spans="1:2" x14ac:dyDescent="0.25">
      <c r="A1100" s="256" t="s">
        <v>4109</v>
      </c>
      <c r="B1100" s="257" t="s">
        <v>4110</v>
      </c>
    </row>
    <row r="1101" spans="1:2" x14ac:dyDescent="0.25">
      <c r="A1101" s="256" t="s">
        <v>4111</v>
      </c>
      <c r="B1101" s="257" t="s">
        <v>4112</v>
      </c>
    </row>
    <row r="1102" spans="1:2" x14ac:dyDescent="0.25">
      <c r="A1102" s="256" t="s">
        <v>4113</v>
      </c>
      <c r="B1102" s="257" t="s">
        <v>4114</v>
      </c>
    </row>
    <row r="1103" spans="1:2" x14ac:dyDescent="0.25">
      <c r="A1103" s="203" t="s">
        <v>4115</v>
      </c>
      <c r="B1103" s="255" t="s">
        <v>4116</v>
      </c>
    </row>
    <row r="1104" spans="1:2" x14ac:dyDescent="0.25">
      <c r="A1104" s="203" t="s">
        <v>4117</v>
      </c>
      <c r="B1104" s="255" t="s">
        <v>4118</v>
      </c>
    </row>
    <row r="1105" spans="1:2" x14ac:dyDescent="0.25">
      <c r="A1105" s="203" t="s">
        <v>4119</v>
      </c>
      <c r="B1105" s="255" t="s">
        <v>4120</v>
      </c>
    </row>
    <row r="1106" spans="1:2" x14ac:dyDescent="0.25">
      <c r="A1106" s="203" t="s">
        <v>4121</v>
      </c>
      <c r="B1106" s="255" t="s">
        <v>4122</v>
      </c>
    </row>
    <row r="1107" spans="1:2" x14ac:dyDescent="0.25">
      <c r="A1107" s="203" t="s">
        <v>4123</v>
      </c>
      <c r="B1107" s="255" t="s">
        <v>4124</v>
      </c>
    </row>
    <row r="1108" spans="1:2" x14ac:dyDescent="0.25">
      <c r="A1108" s="203" t="s">
        <v>4125</v>
      </c>
      <c r="B1108" s="255" t="s">
        <v>4126</v>
      </c>
    </row>
    <row r="1109" spans="1:2" x14ac:dyDescent="0.25">
      <c r="A1109" s="203" t="s">
        <v>4127</v>
      </c>
      <c r="B1109" s="255" t="s">
        <v>4128</v>
      </c>
    </row>
    <row r="1110" spans="1:2" x14ac:dyDescent="0.25">
      <c r="A1110" s="203" t="s">
        <v>4129</v>
      </c>
      <c r="B1110" s="255" t="s">
        <v>4130</v>
      </c>
    </row>
    <row r="1111" spans="1:2" x14ac:dyDescent="0.25">
      <c r="A1111" s="203" t="s">
        <v>4131</v>
      </c>
      <c r="B1111" s="255" t="s">
        <v>4132</v>
      </c>
    </row>
    <row r="1112" spans="1:2" x14ac:dyDescent="0.25">
      <c r="A1112" s="203" t="s">
        <v>1365</v>
      </c>
      <c r="B1112" s="255" t="s">
        <v>4133</v>
      </c>
    </row>
    <row r="1113" spans="1:2" x14ac:dyDescent="0.25">
      <c r="A1113" s="203" t="s">
        <v>883</v>
      </c>
      <c r="B1113" s="255" t="s">
        <v>4134</v>
      </c>
    </row>
    <row r="1114" spans="1:2" x14ac:dyDescent="0.25">
      <c r="A1114" s="203" t="s">
        <v>1368</v>
      </c>
      <c r="B1114" s="255" t="s">
        <v>4135</v>
      </c>
    </row>
    <row r="1115" spans="1:2" x14ac:dyDescent="0.25">
      <c r="A1115" s="203" t="s">
        <v>1370</v>
      </c>
      <c r="B1115" s="255" t="s">
        <v>4136</v>
      </c>
    </row>
    <row r="1116" spans="1:2" x14ac:dyDescent="0.25">
      <c r="A1116" s="203" t="s">
        <v>1372</v>
      </c>
      <c r="B1116" s="255" t="s">
        <v>4137</v>
      </c>
    </row>
    <row r="1117" spans="1:2" x14ac:dyDescent="0.25">
      <c r="A1117" s="203" t="s">
        <v>1374</v>
      </c>
      <c r="B1117" s="255" t="s">
        <v>4138</v>
      </c>
    </row>
    <row r="1118" spans="1:2" x14ac:dyDescent="0.25">
      <c r="A1118" s="203" t="s">
        <v>4139</v>
      </c>
      <c r="B1118" s="255" t="s">
        <v>4140</v>
      </c>
    </row>
    <row r="1119" spans="1:2" x14ac:dyDescent="0.25">
      <c r="A1119" s="203" t="s">
        <v>4141</v>
      </c>
      <c r="B1119" s="255" t="s">
        <v>4142</v>
      </c>
    </row>
    <row r="1120" spans="1:2" x14ac:dyDescent="0.25">
      <c r="A1120" s="203" t="s">
        <v>4143</v>
      </c>
      <c r="B1120" s="255" t="s">
        <v>4144</v>
      </c>
    </row>
    <row r="1121" spans="1:2" x14ac:dyDescent="0.25">
      <c r="A1121" s="203" t="s">
        <v>4145</v>
      </c>
      <c r="B1121" s="255" t="s">
        <v>4146</v>
      </c>
    </row>
    <row r="1122" spans="1:2" x14ac:dyDescent="0.25">
      <c r="A1122" s="203" t="s">
        <v>4147</v>
      </c>
      <c r="B1122" s="255" t="s">
        <v>4148</v>
      </c>
    </row>
    <row r="1123" spans="1:2" x14ac:dyDescent="0.25">
      <c r="A1123" s="203" t="s">
        <v>4149</v>
      </c>
      <c r="B1123" s="255" t="s">
        <v>4150</v>
      </c>
    </row>
    <row r="1124" spans="1:2" x14ac:dyDescent="0.25">
      <c r="A1124" s="203" t="s">
        <v>4151</v>
      </c>
      <c r="B1124" s="255" t="s">
        <v>4152</v>
      </c>
    </row>
    <row r="1125" spans="1:2" x14ac:dyDescent="0.25">
      <c r="A1125" s="203" t="s">
        <v>4153</v>
      </c>
      <c r="B1125" s="255" t="s">
        <v>4154</v>
      </c>
    </row>
    <row r="1126" spans="1:2" x14ac:dyDescent="0.25">
      <c r="A1126" s="203" t="s">
        <v>4155</v>
      </c>
      <c r="B1126" s="255" t="s">
        <v>4156</v>
      </c>
    </row>
    <row r="1127" spans="1:2" x14ac:dyDescent="0.25">
      <c r="A1127" s="203" t="s">
        <v>4157</v>
      </c>
      <c r="B1127" s="255" t="s">
        <v>4158</v>
      </c>
    </row>
    <row r="1128" spans="1:2" x14ac:dyDescent="0.25">
      <c r="A1128" s="203" t="s">
        <v>4159</v>
      </c>
      <c r="B1128" s="255" t="s">
        <v>4160</v>
      </c>
    </row>
    <row r="1129" spans="1:2" x14ac:dyDescent="0.25">
      <c r="A1129" s="203" t="s">
        <v>4161</v>
      </c>
      <c r="B1129" s="255" t="s">
        <v>4162</v>
      </c>
    </row>
    <row r="1130" spans="1:2" x14ac:dyDescent="0.25">
      <c r="A1130" s="203" t="s">
        <v>4163</v>
      </c>
      <c r="B1130" s="255" t="s">
        <v>4164</v>
      </c>
    </row>
    <row r="1131" spans="1:2" x14ac:dyDescent="0.25">
      <c r="A1131" s="203" t="s">
        <v>4165</v>
      </c>
      <c r="B1131" s="255" t="s">
        <v>4166</v>
      </c>
    </row>
    <row r="1132" spans="1:2" x14ac:dyDescent="0.25">
      <c r="A1132" s="203" t="s">
        <v>4167</v>
      </c>
      <c r="B1132" s="255" t="s">
        <v>4168</v>
      </c>
    </row>
    <row r="1133" spans="1:2" x14ac:dyDescent="0.25">
      <c r="A1133" s="203" t="s">
        <v>4169</v>
      </c>
      <c r="B1133" s="255" t="s">
        <v>4170</v>
      </c>
    </row>
    <row r="1134" spans="1:2" x14ac:dyDescent="0.25">
      <c r="A1134" s="203" t="s">
        <v>4171</v>
      </c>
      <c r="B1134" s="255" t="s">
        <v>4172</v>
      </c>
    </row>
    <row r="1135" spans="1:2" x14ac:dyDescent="0.25">
      <c r="A1135" s="203" t="s">
        <v>4173</v>
      </c>
      <c r="B1135" s="255" t="s">
        <v>4174</v>
      </c>
    </row>
    <row r="1136" spans="1:2" x14ac:dyDescent="0.25">
      <c r="A1136" s="203" t="s">
        <v>4175</v>
      </c>
      <c r="B1136" s="255" t="s">
        <v>4176</v>
      </c>
    </row>
    <row r="1137" spans="1:2" x14ac:dyDescent="0.25">
      <c r="A1137" s="203" t="s">
        <v>4177</v>
      </c>
      <c r="B1137" s="255" t="s">
        <v>4178</v>
      </c>
    </row>
    <row r="1138" spans="1:2" x14ac:dyDescent="0.25">
      <c r="A1138" s="203" t="s">
        <v>4179</v>
      </c>
      <c r="B1138" s="255" t="s">
        <v>4180</v>
      </c>
    </row>
    <row r="1139" spans="1:2" x14ac:dyDescent="0.25">
      <c r="A1139" s="203" t="s">
        <v>4181</v>
      </c>
      <c r="B1139" s="255" t="s">
        <v>4182</v>
      </c>
    </row>
    <row r="1140" spans="1:2" x14ac:dyDescent="0.25">
      <c r="A1140" s="203" t="s">
        <v>4183</v>
      </c>
      <c r="B1140" s="255" t="s">
        <v>4184</v>
      </c>
    </row>
    <row r="1141" spans="1:2" x14ac:dyDescent="0.25">
      <c r="A1141" s="203" t="s">
        <v>4185</v>
      </c>
      <c r="B1141" s="255" t="s">
        <v>4186</v>
      </c>
    </row>
    <row r="1142" spans="1:2" x14ac:dyDescent="0.25">
      <c r="A1142" s="203" t="s">
        <v>4187</v>
      </c>
      <c r="B1142" s="255" t="s">
        <v>4188</v>
      </c>
    </row>
    <row r="1143" spans="1:2" x14ac:dyDescent="0.25">
      <c r="A1143" s="203" t="s">
        <v>4189</v>
      </c>
      <c r="B1143" s="255" t="s">
        <v>4190</v>
      </c>
    </row>
    <row r="1144" spans="1:2" x14ac:dyDescent="0.25">
      <c r="A1144" s="203" t="s">
        <v>4191</v>
      </c>
      <c r="B1144" s="255" t="s">
        <v>4192</v>
      </c>
    </row>
    <row r="1145" spans="1:2" x14ac:dyDescent="0.25">
      <c r="A1145" s="203" t="s">
        <v>4193</v>
      </c>
      <c r="B1145" s="255" t="s">
        <v>4194</v>
      </c>
    </row>
    <row r="1146" spans="1:2" x14ac:dyDescent="0.25">
      <c r="A1146" s="203" t="s">
        <v>4195</v>
      </c>
      <c r="B1146" s="255" t="s">
        <v>4196</v>
      </c>
    </row>
    <row r="1147" spans="1:2" x14ac:dyDescent="0.25">
      <c r="A1147" s="203" t="s">
        <v>4197</v>
      </c>
      <c r="B1147" s="255" t="s">
        <v>4198</v>
      </c>
    </row>
    <row r="1148" spans="1:2" x14ac:dyDescent="0.25">
      <c r="A1148" s="203" t="s">
        <v>4199</v>
      </c>
      <c r="B1148" s="255" t="s">
        <v>4200</v>
      </c>
    </row>
    <row r="1149" spans="1:2" x14ac:dyDescent="0.25">
      <c r="A1149" s="203" t="s">
        <v>4201</v>
      </c>
      <c r="B1149" s="255" t="s">
        <v>4202</v>
      </c>
    </row>
    <row r="1150" spans="1:2" x14ac:dyDescent="0.25">
      <c r="A1150" s="203" t="s">
        <v>4203</v>
      </c>
      <c r="B1150" s="255" t="s">
        <v>4204</v>
      </c>
    </row>
    <row r="1151" spans="1:2" x14ac:dyDescent="0.25">
      <c r="A1151" s="203" t="s">
        <v>4205</v>
      </c>
      <c r="B1151" s="255" t="s">
        <v>4206</v>
      </c>
    </row>
    <row r="1152" spans="1:2" x14ac:dyDescent="0.25">
      <c r="A1152" s="203" t="s">
        <v>4207</v>
      </c>
      <c r="B1152" s="255" t="s">
        <v>4208</v>
      </c>
    </row>
    <row r="1153" spans="1:2" x14ac:dyDescent="0.25">
      <c r="A1153" s="203" t="s">
        <v>4209</v>
      </c>
      <c r="B1153" s="255" t="s">
        <v>4210</v>
      </c>
    </row>
    <row r="1154" spans="1:2" x14ac:dyDescent="0.25">
      <c r="A1154" s="203" t="s">
        <v>4211</v>
      </c>
      <c r="B1154" s="255" t="s">
        <v>4212</v>
      </c>
    </row>
    <row r="1155" spans="1:2" x14ac:dyDescent="0.25">
      <c r="A1155" s="203" t="s">
        <v>4213</v>
      </c>
      <c r="B1155" s="255" t="s">
        <v>4214</v>
      </c>
    </row>
    <row r="1156" spans="1:2" x14ac:dyDescent="0.25">
      <c r="A1156" s="203" t="s">
        <v>4215</v>
      </c>
      <c r="B1156" s="255" t="s">
        <v>4216</v>
      </c>
    </row>
    <row r="1157" spans="1:2" x14ac:dyDescent="0.25">
      <c r="A1157" s="203" t="s">
        <v>4217</v>
      </c>
      <c r="B1157" s="255" t="s">
        <v>4218</v>
      </c>
    </row>
    <row r="1158" spans="1:2" x14ac:dyDescent="0.25">
      <c r="A1158" s="203" t="s">
        <v>4219</v>
      </c>
      <c r="B1158" s="255" t="s">
        <v>4220</v>
      </c>
    </row>
    <row r="1159" spans="1:2" x14ac:dyDescent="0.25">
      <c r="A1159" s="203" t="s">
        <v>4221</v>
      </c>
      <c r="B1159" s="255" t="s">
        <v>4222</v>
      </c>
    </row>
    <row r="1160" spans="1:2" x14ac:dyDescent="0.25">
      <c r="A1160" s="203" t="s">
        <v>4223</v>
      </c>
      <c r="B1160" s="255" t="s">
        <v>4224</v>
      </c>
    </row>
    <row r="1161" spans="1:2" x14ac:dyDescent="0.25">
      <c r="A1161" s="203" t="s">
        <v>1376</v>
      </c>
      <c r="B1161" s="255" t="s">
        <v>4225</v>
      </c>
    </row>
    <row r="1162" spans="1:2" x14ac:dyDescent="0.25">
      <c r="A1162" s="203" t="s">
        <v>1378</v>
      </c>
      <c r="B1162" s="255" t="s">
        <v>4226</v>
      </c>
    </row>
    <row r="1163" spans="1:2" x14ac:dyDescent="0.25">
      <c r="A1163" s="203" t="s">
        <v>1380</v>
      </c>
      <c r="B1163" s="255" t="s">
        <v>4227</v>
      </c>
    </row>
    <row r="1164" spans="1:2" x14ac:dyDescent="0.25">
      <c r="A1164" s="203" t="s">
        <v>1382</v>
      </c>
      <c r="B1164" s="255" t="s">
        <v>4228</v>
      </c>
    </row>
    <row r="1165" spans="1:2" x14ac:dyDescent="0.25">
      <c r="A1165" s="203" t="s">
        <v>1384</v>
      </c>
      <c r="B1165" s="255" t="s">
        <v>4229</v>
      </c>
    </row>
    <row r="1166" spans="1:2" x14ac:dyDescent="0.25">
      <c r="A1166" s="203" t="s">
        <v>1386</v>
      </c>
      <c r="B1166" s="255" t="s">
        <v>4230</v>
      </c>
    </row>
    <row r="1167" spans="1:2" x14ac:dyDescent="0.25">
      <c r="A1167" s="203" t="s">
        <v>1388</v>
      </c>
      <c r="B1167" s="255" t="s">
        <v>4231</v>
      </c>
    </row>
    <row r="1168" spans="1:2" x14ac:dyDescent="0.25">
      <c r="A1168" s="203" t="s">
        <v>1390</v>
      </c>
      <c r="B1168" s="255" t="s">
        <v>4232</v>
      </c>
    </row>
    <row r="1169" spans="1:2" x14ac:dyDescent="0.25">
      <c r="A1169" s="203" t="s">
        <v>1392</v>
      </c>
      <c r="B1169" s="255" t="s">
        <v>4233</v>
      </c>
    </row>
    <row r="1170" spans="1:2" x14ac:dyDescent="0.25">
      <c r="A1170" s="203" t="s">
        <v>1394</v>
      </c>
      <c r="B1170" s="255" t="s">
        <v>4234</v>
      </c>
    </row>
    <row r="1171" spans="1:2" x14ac:dyDescent="0.25">
      <c r="A1171" s="203" t="s">
        <v>1396</v>
      </c>
      <c r="B1171" s="255" t="s">
        <v>4235</v>
      </c>
    </row>
    <row r="1172" spans="1:2" x14ac:dyDescent="0.25">
      <c r="A1172" s="203" t="s">
        <v>4236</v>
      </c>
      <c r="B1172" s="255" t="s">
        <v>4237</v>
      </c>
    </row>
    <row r="1173" spans="1:2" x14ac:dyDescent="0.25">
      <c r="A1173" s="203" t="s">
        <v>4238</v>
      </c>
      <c r="B1173" s="255" t="s">
        <v>4239</v>
      </c>
    </row>
    <row r="1174" spans="1:2" x14ac:dyDescent="0.25">
      <c r="A1174" s="203" t="s">
        <v>4240</v>
      </c>
      <c r="B1174" s="255" t="s">
        <v>4241</v>
      </c>
    </row>
    <row r="1175" spans="1:2" x14ac:dyDescent="0.25">
      <c r="A1175" s="203" t="s">
        <v>925</v>
      </c>
      <c r="B1175" s="255" t="s">
        <v>4242</v>
      </c>
    </row>
    <row r="1176" spans="1:2" x14ac:dyDescent="0.25">
      <c r="A1176" s="203" t="s">
        <v>4243</v>
      </c>
      <c r="B1176" s="255" t="s">
        <v>4244</v>
      </c>
    </row>
    <row r="1177" spans="1:2" x14ac:dyDescent="0.25">
      <c r="A1177" s="203" t="s">
        <v>4245</v>
      </c>
      <c r="B1177" s="255" t="s">
        <v>4246</v>
      </c>
    </row>
    <row r="1178" spans="1:2" x14ac:dyDescent="0.25">
      <c r="A1178" s="203" t="s">
        <v>4247</v>
      </c>
      <c r="B1178" s="255" t="s">
        <v>4248</v>
      </c>
    </row>
    <row r="1179" spans="1:2" x14ac:dyDescent="0.25">
      <c r="A1179" s="203" t="s">
        <v>4249</v>
      </c>
      <c r="B1179" s="255" t="s">
        <v>4250</v>
      </c>
    </row>
    <row r="1180" spans="1:2" x14ac:dyDescent="0.25">
      <c r="A1180" s="203" t="s">
        <v>4251</v>
      </c>
      <c r="B1180" s="255" t="s">
        <v>4252</v>
      </c>
    </row>
    <row r="1181" spans="1:2" x14ac:dyDescent="0.25">
      <c r="A1181" s="203" t="s">
        <v>4253</v>
      </c>
      <c r="B1181" s="255" t="s">
        <v>4254</v>
      </c>
    </row>
    <row r="1182" spans="1:2" x14ac:dyDescent="0.25">
      <c r="A1182" s="203" t="s">
        <v>4255</v>
      </c>
      <c r="B1182" s="255" t="s">
        <v>4256</v>
      </c>
    </row>
    <row r="1183" spans="1:2" x14ac:dyDescent="0.25">
      <c r="A1183" s="203" t="s">
        <v>4257</v>
      </c>
      <c r="B1183" s="255" t="s">
        <v>4258</v>
      </c>
    </row>
    <row r="1184" spans="1:2" x14ac:dyDescent="0.25">
      <c r="A1184" s="203" t="s">
        <v>4259</v>
      </c>
      <c r="B1184" s="255" t="s">
        <v>4260</v>
      </c>
    </row>
    <row r="1185" spans="1:2" x14ac:dyDescent="0.25">
      <c r="A1185" s="203" t="s">
        <v>4261</v>
      </c>
      <c r="B1185" s="255" t="s">
        <v>4262</v>
      </c>
    </row>
    <row r="1186" spans="1:2" x14ac:dyDescent="0.25">
      <c r="A1186" s="203" t="s">
        <v>4263</v>
      </c>
      <c r="B1186" s="255" t="s">
        <v>4264</v>
      </c>
    </row>
    <row r="1187" spans="1:2" x14ac:dyDescent="0.25">
      <c r="A1187" s="203" t="s">
        <v>4265</v>
      </c>
      <c r="B1187" s="255" t="s">
        <v>4266</v>
      </c>
    </row>
    <row r="1188" spans="1:2" x14ac:dyDescent="0.25">
      <c r="A1188" s="203" t="s">
        <v>4267</v>
      </c>
      <c r="B1188" s="255" t="s">
        <v>4268</v>
      </c>
    </row>
    <row r="1189" spans="1:2" x14ac:dyDescent="0.25">
      <c r="A1189" s="203" t="s">
        <v>4269</v>
      </c>
      <c r="B1189" s="255" t="s">
        <v>4270</v>
      </c>
    </row>
    <row r="1190" spans="1:2" x14ac:dyDescent="0.25">
      <c r="A1190" s="203" t="s">
        <v>4271</v>
      </c>
      <c r="B1190" s="255" t="s">
        <v>4272</v>
      </c>
    </row>
    <row r="1191" spans="1:2" x14ac:dyDescent="0.25">
      <c r="A1191" s="203" t="s">
        <v>4273</v>
      </c>
      <c r="B1191" s="255" t="s">
        <v>4274</v>
      </c>
    </row>
    <row r="1192" spans="1:2" x14ac:dyDescent="0.25">
      <c r="A1192" s="203" t="s">
        <v>4275</v>
      </c>
      <c r="B1192" s="255" t="s">
        <v>4276</v>
      </c>
    </row>
    <row r="1193" spans="1:2" x14ac:dyDescent="0.25">
      <c r="A1193" s="203" t="s">
        <v>4277</v>
      </c>
      <c r="B1193" s="255" t="s">
        <v>4278</v>
      </c>
    </row>
    <row r="1194" spans="1:2" x14ac:dyDescent="0.25">
      <c r="A1194" s="203" t="s">
        <v>4279</v>
      </c>
      <c r="B1194" s="255" t="s">
        <v>4280</v>
      </c>
    </row>
    <row r="1195" spans="1:2" x14ac:dyDescent="0.25">
      <c r="A1195" s="203" t="s">
        <v>4281</v>
      </c>
      <c r="B1195" s="255" t="s">
        <v>4282</v>
      </c>
    </row>
    <row r="1196" spans="1:2" x14ac:dyDescent="0.25">
      <c r="A1196" s="203" t="s">
        <v>4283</v>
      </c>
      <c r="B1196" s="255" t="s">
        <v>4284</v>
      </c>
    </row>
    <row r="1197" spans="1:2" x14ac:dyDescent="0.25">
      <c r="A1197" s="203" t="s">
        <v>4285</v>
      </c>
      <c r="B1197" s="255" t="s">
        <v>4286</v>
      </c>
    </row>
    <row r="1198" spans="1:2" x14ac:dyDescent="0.25">
      <c r="A1198" s="203" t="s">
        <v>4287</v>
      </c>
      <c r="B1198" s="255" t="s">
        <v>4288</v>
      </c>
    </row>
    <row r="1199" spans="1:2" x14ac:dyDescent="0.25">
      <c r="A1199" s="203" t="s">
        <v>4289</v>
      </c>
      <c r="B1199" s="255" t="s">
        <v>4290</v>
      </c>
    </row>
    <row r="1200" spans="1:2" x14ac:dyDescent="0.25">
      <c r="A1200" s="203" t="s">
        <v>4291</v>
      </c>
      <c r="B1200" s="255" t="s">
        <v>4292</v>
      </c>
    </row>
    <row r="1201" spans="1:2" x14ac:dyDescent="0.25">
      <c r="A1201" s="203" t="s">
        <v>4293</v>
      </c>
      <c r="B1201" s="255" t="s">
        <v>4294</v>
      </c>
    </row>
    <row r="1202" spans="1:2" x14ac:dyDescent="0.25">
      <c r="A1202" s="203" t="s">
        <v>4295</v>
      </c>
      <c r="B1202" s="255" t="s">
        <v>4296</v>
      </c>
    </row>
    <row r="1203" spans="1:2" x14ac:dyDescent="0.25">
      <c r="A1203" s="203" t="s">
        <v>4297</v>
      </c>
      <c r="B1203" s="255" t="s">
        <v>4298</v>
      </c>
    </row>
    <row r="1204" spans="1:2" x14ac:dyDescent="0.25">
      <c r="A1204" s="203" t="s">
        <v>4299</v>
      </c>
      <c r="B1204" s="255" t="s">
        <v>4300</v>
      </c>
    </row>
    <row r="1205" spans="1:2" x14ac:dyDescent="0.25">
      <c r="A1205" s="203" t="s">
        <v>4301</v>
      </c>
      <c r="B1205" s="255" t="s">
        <v>4302</v>
      </c>
    </row>
    <row r="1206" spans="1:2" x14ac:dyDescent="0.25">
      <c r="A1206" s="203" t="s">
        <v>4303</v>
      </c>
      <c r="B1206" s="255" t="s">
        <v>4304</v>
      </c>
    </row>
    <row r="1207" spans="1:2" x14ac:dyDescent="0.25">
      <c r="A1207" s="203" t="s">
        <v>4305</v>
      </c>
      <c r="B1207" s="255" t="s">
        <v>4306</v>
      </c>
    </row>
    <row r="1208" spans="1:2" x14ac:dyDescent="0.25">
      <c r="A1208" s="203" t="s">
        <v>4307</v>
      </c>
      <c r="B1208" s="255" t="s">
        <v>4308</v>
      </c>
    </row>
    <row r="1209" spans="1:2" x14ac:dyDescent="0.25">
      <c r="A1209" s="203" t="s">
        <v>4309</v>
      </c>
      <c r="B1209" s="255" t="s">
        <v>4310</v>
      </c>
    </row>
    <row r="1210" spans="1:2" x14ac:dyDescent="0.25">
      <c r="A1210" s="203" t="s">
        <v>4311</v>
      </c>
      <c r="B1210" s="255" t="s">
        <v>4312</v>
      </c>
    </row>
    <row r="1211" spans="1:2" x14ac:dyDescent="0.25">
      <c r="A1211" s="203" t="s">
        <v>4313</v>
      </c>
      <c r="B1211" s="255" t="s">
        <v>4314</v>
      </c>
    </row>
    <row r="1212" spans="1:2" x14ac:dyDescent="0.25">
      <c r="A1212" s="203" t="s">
        <v>4315</v>
      </c>
      <c r="B1212" s="255" t="s">
        <v>4316</v>
      </c>
    </row>
    <row r="1213" spans="1:2" x14ac:dyDescent="0.25">
      <c r="A1213" s="203" t="s">
        <v>4317</v>
      </c>
      <c r="B1213" s="255" t="s">
        <v>4318</v>
      </c>
    </row>
    <row r="1214" spans="1:2" x14ac:dyDescent="0.25">
      <c r="A1214" s="203" t="s">
        <v>4319</v>
      </c>
      <c r="B1214" s="255" t="s">
        <v>4320</v>
      </c>
    </row>
    <row r="1215" spans="1:2" x14ac:dyDescent="0.25">
      <c r="A1215" s="203" t="s">
        <v>4321</v>
      </c>
      <c r="B1215" s="255" t="s">
        <v>4322</v>
      </c>
    </row>
    <row r="1216" spans="1:2" x14ac:dyDescent="0.25">
      <c r="A1216" s="203" t="s">
        <v>4323</v>
      </c>
      <c r="B1216" s="255" t="s">
        <v>4324</v>
      </c>
    </row>
    <row r="1217" spans="1:2" x14ac:dyDescent="0.25">
      <c r="A1217" s="203" t="s">
        <v>4325</v>
      </c>
      <c r="B1217" s="255" t="s">
        <v>4326</v>
      </c>
    </row>
    <row r="1218" spans="1:2" x14ac:dyDescent="0.25">
      <c r="A1218" s="203" t="s">
        <v>4327</v>
      </c>
      <c r="B1218" s="255" t="s">
        <v>4328</v>
      </c>
    </row>
    <row r="1219" spans="1:2" x14ac:dyDescent="0.25">
      <c r="A1219" s="203" t="s">
        <v>4329</v>
      </c>
      <c r="B1219" s="255" t="s">
        <v>4330</v>
      </c>
    </row>
    <row r="1220" spans="1:2" x14ac:dyDescent="0.25">
      <c r="A1220" s="203" t="s">
        <v>4331</v>
      </c>
      <c r="B1220" s="255" t="s">
        <v>4332</v>
      </c>
    </row>
    <row r="1221" spans="1:2" x14ac:dyDescent="0.25">
      <c r="A1221" s="203" t="s">
        <v>4333</v>
      </c>
      <c r="B1221" s="255" t="s">
        <v>4334</v>
      </c>
    </row>
    <row r="1222" spans="1:2" x14ac:dyDescent="0.25">
      <c r="A1222" s="203" t="s">
        <v>4335</v>
      </c>
      <c r="B1222" s="255" t="s">
        <v>4336</v>
      </c>
    </row>
    <row r="1223" spans="1:2" x14ac:dyDescent="0.25">
      <c r="A1223" s="203" t="s">
        <v>4337</v>
      </c>
      <c r="B1223" s="255" t="s">
        <v>4338</v>
      </c>
    </row>
    <row r="1224" spans="1:2" x14ac:dyDescent="0.25">
      <c r="A1224" s="203" t="s">
        <v>4339</v>
      </c>
      <c r="B1224" s="255" t="s">
        <v>4340</v>
      </c>
    </row>
    <row r="1225" spans="1:2" x14ac:dyDescent="0.25">
      <c r="A1225" s="203" t="s">
        <v>4341</v>
      </c>
      <c r="B1225" s="255" t="s">
        <v>4342</v>
      </c>
    </row>
    <row r="1226" spans="1:2" x14ac:dyDescent="0.25">
      <c r="A1226" s="203" t="s">
        <v>4343</v>
      </c>
      <c r="B1226" s="255" t="s">
        <v>4344</v>
      </c>
    </row>
    <row r="1227" spans="1:2" x14ac:dyDescent="0.25">
      <c r="A1227" s="203" t="s">
        <v>4345</v>
      </c>
      <c r="B1227" s="255" t="s">
        <v>4346</v>
      </c>
    </row>
    <row r="1228" spans="1:2" x14ac:dyDescent="0.25">
      <c r="A1228" s="203" t="s">
        <v>4347</v>
      </c>
      <c r="B1228" s="255" t="s">
        <v>4348</v>
      </c>
    </row>
    <row r="1229" spans="1:2" x14ac:dyDescent="0.25">
      <c r="A1229" s="203" t="s">
        <v>4349</v>
      </c>
      <c r="B1229" s="255" t="s">
        <v>4350</v>
      </c>
    </row>
    <row r="1230" spans="1:2" x14ac:dyDescent="0.25">
      <c r="A1230" s="203" t="s">
        <v>4351</v>
      </c>
      <c r="B1230" s="255" t="s">
        <v>4352</v>
      </c>
    </row>
    <row r="1231" spans="1:2" x14ac:dyDescent="0.25">
      <c r="A1231" s="203" t="s">
        <v>4353</v>
      </c>
      <c r="B1231" s="255" t="s">
        <v>4354</v>
      </c>
    </row>
    <row r="1232" spans="1:2" x14ac:dyDescent="0.25">
      <c r="A1232" s="203" t="s">
        <v>4355</v>
      </c>
      <c r="B1232" s="255" t="s">
        <v>4356</v>
      </c>
    </row>
    <row r="1233" spans="1:2" x14ac:dyDescent="0.25">
      <c r="A1233" s="203" t="s">
        <v>4357</v>
      </c>
      <c r="B1233" s="255" t="s">
        <v>4358</v>
      </c>
    </row>
    <row r="1234" spans="1:2" x14ac:dyDescent="0.25">
      <c r="A1234" s="203" t="s">
        <v>4359</v>
      </c>
      <c r="B1234" s="255" t="s">
        <v>4360</v>
      </c>
    </row>
    <row r="1235" spans="1:2" x14ac:dyDescent="0.25">
      <c r="A1235" s="203" t="s">
        <v>4361</v>
      </c>
      <c r="B1235" s="255" t="s">
        <v>4362</v>
      </c>
    </row>
    <row r="1236" spans="1:2" x14ac:dyDescent="0.25">
      <c r="A1236" s="203" t="s">
        <v>4363</v>
      </c>
      <c r="B1236" s="255" t="s">
        <v>4364</v>
      </c>
    </row>
    <row r="1237" spans="1:2" x14ac:dyDescent="0.25">
      <c r="A1237" s="203" t="s">
        <v>4365</v>
      </c>
      <c r="B1237" s="255" t="s">
        <v>4366</v>
      </c>
    </row>
    <row r="1238" spans="1:2" x14ac:dyDescent="0.25">
      <c r="A1238" s="203" t="s">
        <v>4367</v>
      </c>
      <c r="B1238" s="255" t="s">
        <v>4368</v>
      </c>
    </row>
    <row r="1239" spans="1:2" x14ac:dyDescent="0.25">
      <c r="A1239" s="203" t="s">
        <v>4369</v>
      </c>
      <c r="B1239" s="255" t="s">
        <v>4370</v>
      </c>
    </row>
    <row r="1240" spans="1:2" x14ac:dyDescent="0.25">
      <c r="A1240" s="203" t="s">
        <v>4371</v>
      </c>
      <c r="B1240" s="255" t="s">
        <v>4372</v>
      </c>
    </row>
    <row r="1241" spans="1:2" x14ac:dyDescent="0.25">
      <c r="A1241" s="203" t="s">
        <v>4373</v>
      </c>
      <c r="B1241" s="255" t="s">
        <v>4374</v>
      </c>
    </row>
    <row r="1242" spans="1:2" x14ac:dyDescent="0.25">
      <c r="A1242" s="203" t="s">
        <v>4375</v>
      </c>
      <c r="B1242" s="255" t="s">
        <v>4376</v>
      </c>
    </row>
    <row r="1243" spans="1:2" x14ac:dyDescent="0.25">
      <c r="A1243" s="203" t="s">
        <v>4377</v>
      </c>
      <c r="B1243" s="255" t="s">
        <v>4378</v>
      </c>
    </row>
    <row r="1244" spans="1:2" x14ac:dyDescent="0.25">
      <c r="A1244" s="203" t="s">
        <v>4379</v>
      </c>
      <c r="B1244" s="255" t="s">
        <v>4380</v>
      </c>
    </row>
    <row r="1245" spans="1:2" x14ac:dyDescent="0.25">
      <c r="A1245" s="203" t="s">
        <v>4381</v>
      </c>
      <c r="B1245" s="255" t="s">
        <v>4382</v>
      </c>
    </row>
    <row r="1246" spans="1:2" x14ac:dyDescent="0.25">
      <c r="A1246" s="203" t="s">
        <v>4383</v>
      </c>
      <c r="B1246" s="255" t="s">
        <v>4384</v>
      </c>
    </row>
    <row r="1247" spans="1:2" x14ac:dyDescent="0.25">
      <c r="A1247" s="203" t="s">
        <v>4385</v>
      </c>
      <c r="B1247" s="255" t="s">
        <v>4386</v>
      </c>
    </row>
    <row r="1248" spans="1:2" x14ac:dyDescent="0.25">
      <c r="A1248" s="203" t="s">
        <v>4387</v>
      </c>
      <c r="B1248" s="255" t="s">
        <v>4388</v>
      </c>
    </row>
    <row r="1249" spans="1:2" x14ac:dyDescent="0.25">
      <c r="A1249" s="203" t="s">
        <v>4389</v>
      </c>
      <c r="B1249" s="255" t="s">
        <v>4390</v>
      </c>
    </row>
    <row r="1250" spans="1:2" x14ac:dyDescent="0.25">
      <c r="A1250" s="203" t="s">
        <v>4391</v>
      </c>
      <c r="B1250" s="255" t="s">
        <v>4392</v>
      </c>
    </row>
    <row r="1251" spans="1:2" x14ac:dyDescent="0.25">
      <c r="A1251" s="203" t="s">
        <v>4393</v>
      </c>
      <c r="B1251" s="255" t="s">
        <v>4394</v>
      </c>
    </row>
    <row r="1252" spans="1:2" x14ac:dyDescent="0.25">
      <c r="A1252" s="203" t="s">
        <v>4395</v>
      </c>
      <c r="B1252" s="255" t="s">
        <v>4396</v>
      </c>
    </row>
    <row r="1253" spans="1:2" x14ac:dyDescent="0.25">
      <c r="A1253" s="203" t="s">
        <v>4397</v>
      </c>
      <c r="B1253" s="255" t="s">
        <v>4398</v>
      </c>
    </row>
    <row r="1254" spans="1:2" x14ac:dyDescent="0.25">
      <c r="A1254" s="203" t="s">
        <v>4399</v>
      </c>
      <c r="B1254" s="255" t="s">
        <v>4400</v>
      </c>
    </row>
    <row r="1255" spans="1:2" x14ac:dyDescent="0.25">
      <c r="A1255" s="203" t="s">
        <v>4401</v>
      </c>
      <c r="B1255" s="255" t="s">
        <v>4402</v>
      </c>
    </row>
    <row r="1256" spans="1:2" x14ac:dyDescent="0.25">
      <c r="A1256" s="203" t="s">
        <v>4403</v>
      </c>
      <c r="B1256" s="255" t="s">
        <v>4404</v>
      </c>
    </row>
    <row r="1257" spans="1:2" x14ac:dyDescent="0.25">
      <c r="A1257" s="203" t="s">
        <v>4405</v>
      </c>
      <c r="B1257" s="255" t="s">
        <v>4406</v>
      </c>
    </row>
    <row r="1258" spans="1:2" x14ac:dyDescent="0.25">
      <c r="A1258" s="203" t="s">
        <v>4407</v>
      </c>
      <c r="B1258" s="255" t="s">
        <v>4408</v>
      </c>
    </row>
    <row r="1259" spans="1:2" x14ac:dyDescent="0.25">
      <c r="A1259" s="203" t="s">
        <v>4409</v>
      </c>
      <c r="B1259" s="255" t="s">
        <v>4410</v>
      </c>
    </row>
    <row r="1260" spans="1:2" x14ac:dyDescent="0.25">
      <c r="A1260" s="203" t="s">
        <v>4411</v>
      </c>
      <c r="B1260" s="255" t="s">
        <v>4412</v>
      </c>
    </row>
    <row r="1261" spans="1:2" x14ac:dyDescent="0.25">
      <c r="A1261" s="203" t="s">
        <v>4413</v>
      </c>
      <c r="B1261" s="255" t="s">
        <v>4414</v>
      </c>
    </row>
    <row r="1262" spans="1:2" x14ac:dyDescent="0.25">
      <c r="A1262" s="203" t="s">
        <v>4415</v>
      </c>
      <c r="B1262" s="255" t="s">
        <v>4416</v>
      </c>
    </row>
    <row r="1263" spans="1:2" x14ac:dyDescent="0.25">
      <c r="A1263" s="203" t="s">
        <v>4417</v>
      </c>
      <c r="B1263" s="255" t="s">
        <v>4418</v>
      </c>
    </row>
    <row r="1264" spans="1:2" x14ac:dyDescent="0.25">
      <c r="A1264" s="203" t="s">
        <v>4419</v>
      </c>
      <c r="B1264" s="255" t="s">
        <v>4420</v>
      </c>
    </row>
    <row r="1265" spans="1:2" x14ac:dyDescent="0.25">
      <c r="A1265" s="203" t="s">
        <v>4421</v>
      </c>
      <c r="B1265" s="255" t="s">
        <v>4422</v>
      </c>
    </row>
    <row r="1266" spans="1:2" x14ac:dyDescent="0.25">
      <c r="A1266" s="203" t="s">
        <v>4423</v>
      </c>
      <c r="B1266" s="255" t="s">
        <v>4424</v>
      </c>
    </row>
    <row r="1267" spans="1:2" x14ac:dyDescent="0.25">
      <c r="A1267" s="203" t="s">
        <v>4425</v>
      </c>
      <c r="B1267" s="255" t="s">
        <v>4426</v>
      </c>
    </row>
    <row r="1268" spans="1:2" x14ac:dyDescent="0.25">
      <c r="A1268" s="203" t="s">
        <v>4427</v>
      </c>
      <c r="B1268" s="255" t="s">
        <v>4428</v>
      </c>
    </row>
    <row r="1269" spans="1:2" x14ac:dyDescent="0.25">
      <c r="A1269" s="203" t="s">
        <v>4429</v>
      </c>
      <c r="B1269" s="255" t="s">
        <v>4430</v>
      </c>
    </row>
    <row r="1270" spans="1:2" x14ac:dyDescent="0.25">
      <c r="A1270" s="203" t="s">
        <v>4431</v>
      </c>
      <c r="B1270" s="255" t="s">
        <v>4432</v>
      </c>
    </row>
    <row r="1271" spans="1:2" x14ac:dyDescent="0.25">
      <c r="A1271" s="203" t="s">
        <v>4433</v>
      </c>
      <c r="B1271" s="255" t="s">
        <v>4434</v>
      </c>
    </row>
    <row r="1272" spans="1:2" x14ac:dyDescent="0.25">
      <c r="A1272" s="203" t="s">
        <v>4435</v>
      </c>
      <c r="B1272" s="255" t="s">
        <v>4436</v>
      </c>
    </row>
    <row r="1273" spans="1:2" x14ac:dyDescent="0.25">
      <c r="A1273" s="203" t="s">
        <v>4437</v>
      </c>
      <c r="B1273" s="255" t="s">
        <v>4438</v>
      </c>
    </row>
    <row r="1274" spans="1:2" x14ac:dyDescent="0.25">
      <c r="A1274" s="203" t="s">
        <v>4439</v>
      </c>
      <c r="B1274" s="255" t="s">
        <v>4440</v>
      </c>
    </row>
    <row r="1275" spans="1:2" x14ac:dyDescent="0.25">
      <c r="A1275" s="203" t="s">
        <v>4441</v>
      </c>
      <c r="B1275" s="255" t="s">
        <v>4442</v>
      </c>
    </row>
    <row r="1276" spans="1:2" x14ac:dyDescent="0.25">
      <c r="A1276" s="203" t="s">
        <v>4443</v>
      </c>
      <c r="B1276" s="255" t="s">
        <v>4444</v>
      </c>
    </row>
    <row r="1277" spans="1:2" x14ac:dyDescent="0.25">
      <c r="A1277" s="203" t="s">
        <v>4445</v>
      </c>
      <c r="B1277" s="255" t="s">
        <v>4446</v>
      </c>
    </row>
    <row r="1278" spans="1:2" x14ac:dyDescent="0.25">
      <c r="A1278" s="203" t="s">
        <v>4447</v>
      </c>
      <c r="B1278" s="255" t="s">
        <v>4448</v>
      </c>
    </row>
    <row r="1279" spans="1:2" x14ac:dyDescent="0.25">
      <c r="A1279" s="203" t="s">
        <v>4449</v>
      </c>
      <c r="B1279" s="255" t="s">
        <v>4450</v>
      </c>
    </row>
    <row r="1280" spans="1:2" x14ac:dyDescent="0.25">
      <c r="A1280" s="203" t="s">
        <v>4451</v>
      </c>
      <c r="B1280" s="255" t="s">
        <v>4452</v>
      </c>
    </row>
    <row r="1281" spans="1:2" x14ac:dyDescent="0.25">
      <c r="A1281" s="203" t="s">
        <v>4453</v>
      </c>
      <c r="B1281" s="255" t="s">
        <v>4454</v>
      </c>
    </row>
    <row r="1282" spans="1:2" x14ac:dyDescent="0.25">
      <c r="A1282" s="203" t="s">
        <v>4455</v>
      </c>
      <c r="B1282" s="255" t="s">
        <v>4456</v>
      </c>
    </row>
    <row r="1283" spans="1:2" x14ac:dyDescent="0.25">
      <c r="A1283" s="203" t="s">
        <v>4457</v>
      </c>
      <c r="B1283" s="255" t="s">
        <v>4458</v>
      </c>
    </row>
    <row r="1284" spans="1:2" x14ac:dyDescent="0.25">
      <c r="A1284" s="203" t="s">
        <v>4459</v>
      </c>
      <c r="B1284" s="255" t="s">
        <v>4460</v>
      </c>
    </row>
    <row r="1285" spans="1:2" x14ac:dyDescent="0.25">
      <c r="A1285" s="203" t="s">
        <v>4461</v>
      </c>
      <c r="B1285" s="255" t="s">
        <v>4462</v>
      </c>
    </row>
    <row r="1286" spans="1:2" x14ac:dyDescent="0.25">
      <c r="A1286" s="203" t="s">
        <v>4463</v>
      </c>
      <c r="B1286" s="255" t="s">
        <v>4464</v>
      </c>
    </row>
    <row r="1287" spans="1:2" x14ac:dyDescent="0.25">
      <c r="A1287" s="203" t="s">
        <v>4465</v>
      </c>
      <c r="B1287" s="255" t="s">
        <v>4466</v>
      </c>
    </row>
    <row r="1288" spans="1:2" x14ac:dyDescent="0.25">
      <c r="A1288" s="203" t="s">
        <v>4467</v>
      </c>
      <c r="B1288" s="255" t="s">
        <v>4468</v>
      </c>
    </row>
    <row r="1289" spans="1:2" x14ac:dyDescent="0.25">
      <c r="A1289" s="203" t="s">
        <v>4469</v>
      </c>
      <c r="B1289" s="255" t="s">
        <v>4470</v>
      </c>
    </row>
    <row r="1290" spans="1:2" x14ac:dyDescent="0.25">
      <c r="A1290" s="203" t="s">
        <v>4471</v>
      </c>
      <c r="B1290" s="255" t="s">
        <v>4472</v>
      </c>
    </row>
    <row r="1291" spans="1:2" x14ac:dyDescent="0.25">
      <c r="A1291" s="203" t="s">
        <v>4473</v>
      </c>
      <c r="B1291" s="255" t="s">
        <v>4474</v>
      </c>
    </row>
    <row r="1292" spans="1:2" x14ac:dyDescent="0.25">
      <c r="A1292" s="203" t="s">
        <v>4475</v>
      </c>
      <c r="B1292" s="255" t="s">
        <v>4476</v>
      </c>
    </row>
    <row r="1293" spans="1:2" x14ac:dyDescent="0.25">
      <c r="A1293" s="203" t="s">
        <v>4477</v>
      </c>
      <c r="B1293" s="255" t="s">
        <v>4478</v>
      </c>
    </row>
    <row r="1294" spans="1:2" x14ac:dyDescent="0.25">
      <c r="A1294" s="203" t="s">
        <v>4479</v>
      </c>
      <c r="B1294" s="255" t="s">
        <v>4480</v>
      </c>
    </row>
    <row r="1295" spans="1:2" x14ac:dyDescent="0.25">
      <c r="A1295" s="203" t="s">
        <v>4481</v>
      </c>
      <c r="B1295" s="255" t="s">
        <v>4482</v>
      </c>
    </row>
    <row r="1296" spans="1:2" x14ac:dyDescent="0.25">
      <c r="A1296" s="203" t="s">
        <v>4483</v>
      </c>
      <c r="B1296" s="255" t="s">
        <v>4484</v>
      </c>
    </row>
    <row r="1297" spans="1:2" x14ac:dyDescent="0.25">
      <c r="A1297" s="203" t="s">
        <v>4485</v>
      </c>
      <c r="B1297" s="255" t="s">
        <v>4486</v>
      </c>
    </row>
    <row r="1298" spans="1:2" x14ac:dyDescent="0.25">
      <c r="A1298" s="203" t="s">
        <v>4487</v>
      </c>
      <c r="B1298" s="255" t="s">
        <v>4488</v>
      </c>
    </row>
    <row r="1299" spans="1:2" x14ac:dyDescent="0.25">
      <c r="A1299" s="203" t="s">
        <v>4489</v>
      </c>
      <c r="B1299" s="255" t="s">
        <v>4490</v>
      </c>
    </row>
    <row r="1300" spans="1:2" x14ac:dyDescent="0.25">
      <c r="A1300" s="203" t="s">
        <v>4491</v>
      </c>
      <c r="B1300" s="255" t="s">
        <v>4492</v>
      </c>
    </row>
    <row r="1301" spans="1:2" x14ac:dyDescent="0.25">
      <c r="A1301" s="203" t="s">
        <v>4493</v>
      </c>
      <c r="B1301" s="255" t="s">
        <v>4494</v>
      </c>
    </row>
    <row r="1302" spans="1:2" x14ac:dyDescent="0.25">
      <c r="A1302" s="203" t="s">
        <v>4495</v>
      </c>
      <c r="B1302" s="255" t="s">
        <v>4496</v>
      </c>
    </row>
    <row r="1303" spans="1:2" x14ac:dyDescent="0.25">
      <c r="A1303" s="203" t="s">
        <v>4497</v>
      </c>
      <c r="B1303" s="255" t="s">
        <v>4498</v>
      </c>
    </row>
    <row r="1304" spans="1:2" x14ac:dyDescent="0.25">
      <c r="A1304" s="203" t="s">
        <v>4499</v>
      </c>
      <c r="B1304" s="255" t="s">
        <v>4500</v>
      </c>
    </row>
    <row r="1305" spans="1:2" x14ac:dyDescent="0.25">
      <c r="A1305" s="4" t="s">
        <v>4501</v>
      </c>
      <c r="B1305" s="255" t="s">
        <v>4502</v>
      </c>
    </row>
    <row r="1306" spans="1:2" x14ac:dyDescent="0.25">
      <c r="A1306" s="4" t="s">
        <v>4503</v>
      </c>
      <c r="B1306" s="255" t="s">
        <v>4504</v>
      </c>
    </row>
    <row r="1307" spans="1:2" x14ac:dyDescent="0.25">
      <c r="A1307" s="4" t="s">
        <v>4505</v>
      </c>
      <c r="B1307" s="255" t="s">
        <v>4506</v>
      </c>
    </row>
    <row r="1308" spans="1:2" x14ac:dyDescent="0.25">
      <c r="A1308" s="4" t="s">
        <v>4507</v>
      </c>
      <c r="B1308" s="255" t="s">
        <v>4508</v>
      </c>
    </row>
    <row r="1309" spans="1:2" x14ac:dyDescent="0.25">
      <c r="A1309" s="4" t="s">
        <v>4509</v>
      </c>
      <c r="B1309" s="255" t="s">
        <v>4510</v>
      </c>
    </row>
    <row r="1310" spans="1:2" x14ac:dyDescent="0.25">
      <c r="A1310" s="4" t="s">
        <v>4511</v>
      </c>
      <c r="B1310" s="255" t="s">
        <v>4512</v>
      </c>
    </row>
    <row r="1311" spans="1:2" x14ac:dyDescent="0.25">
      <c r="A1311" s="4" t="s">
        <v>4513</v>
      </c>
      <c r="B1311" s="255" t="s">
        <v>4514</v>
      </c>
    </row>
    <row r="1312" spans="1:2" x14ac:dyDescent="0.25">
      <c r="A1312" s="4" t="s">
        <v>4515</v>
      </c>
      <c r="B1312" s="255" t="s">
        <v>4516</v>
      </c>
    </row>
    <row r="1313" spans="1:2" x14ac:dyDescent="0.25">
      <c r="A1313" s="4" t="s">
        <v>4517</v>
      </c>
      <c r="B1313" s="255" t="s">
        <v>2380</v>
      </c>
    </row>
    <row r="1314" spans="1:2" x14ac:dyDescent="0.25">
      <c r="A1314" s="4" t="s">
        <v>4518</v>
      </c>
      <c r="B1314" s="255" t="s">
        <v>4519</v>
      </c>
    </row>
    <row r="1315" spans="1:2" x14ac:dyDescent="0.25">
      <c r="A1315" s="4" t="s">
        <v>4520</v>
      </c>
      <c r="B1315" s="255" t="s">
        <v>4521</v>
      </c>
    </row>
    <row r="1316" spans="1:2" x14ac:dyDescent="0.25">
      <c r="A1316" s="4" t="s">
        <v>4522</v>
      </c>
      <c r="B1316" s="255" t="s">
        <v>4523</v>
      </c>
    </row>
    <row r="1317" spans="1:2" x14ac:dyDescent="0.25">
      <c r="A1317" s="4" t="s">
        <v>4524</v>
      </c>
      <c r="B1317" s="255" t="s">
        <v>4525</v>
      </c>
    </row>
    <row r="1318" spans="1:2" x14ac:dyDescent="0.25">
      <c r="A1318" s="4" t="s">
        <v>251</v>
      </c>
      <c r="B1318" s="255" t="s">
        <v>4526</v>
      </c>
    </row>
    <row r="1319" spans="1:2" x14ac:dyDescent="0.25">
      <c r="A1319" s="4" t="s">
        <v>4527</v>
      </c>
      <c r="B1319" s="255" t="s">
        <v>4528</v>
      </c>
    </row>
    <row r="1320" spans="1:2" x14ac:dyDescent="0.25">
      <c r="A1320" s="4" t="s">
        <v>4529</v>
      </c>
      <c r="B1320" s="255" t="s">
        <v>4530</v>
      </c>
    </row>
    <row r="1321" spans="1:2" x14ac:dyDescent="0.25">
      <c r="A1321" s="4" t="s">
        <v>4531</v>
      </c>
      <c r="B1321" s="255" t="s">
        <v>4532</v>
      </c>
    </row>
    <row r="1322" spans="1:2" x14ac:dyDescent="0.25">
      <c r="A1322" s="4" t="s">
        <v>4533</v>
      </c>
      <c r="B1322" s="255" t="s">
        <v>4534</v>
      </c>
    </row>
    <row r="1323" spans="1:2" x14ac:dyDescent="0.25">
      <c r="A1323" s="4" t="s">
        <v>4535</v>
      </c>
      <c r="B1323" s="255" t="s">
        <v>4536</v>
      </c>
    </row>
    <row r="1324" spans="1:2" x14ac:dyDescent="0.25">
      <c r="A1324" s="4" t="s">
        <v>4537</v>
      </c>
      <c r="B1324" s="255" t="s">
        <v>4538</v>
      </c>
    </row>
    <row r="1325" spans="1:2" x14ac:dyDescent="0.25">
      <c r="A1325" s="4" t="s">
        <v>4539</v>
      </c>
      <c r="B1325" s="255" t="s">
        <v>4540</v>
      </c>
    </row>
    <row r="1326" spans="1:2" x14ac:dyDescent="0.25">
      <c r="A1326" s="4" t="s">
        <v>4541</v>
      </c>
      <c r="B1326" s="255" t="s">
        <v>4542</v>
      </c>
    </row>
    <row r="1327" spans="1:2" x14ac:dyDescent="0.25">
      <c r="A1327" s="4" t="s">
        <v>4543</v>
      </c>
      <c r="B1327" s="255" t="s">
        <v>4544</v>
      </c>
    </row>
    <row r="1328" spans="1:2" x14ac:dyDescent="0.25">
      <c r="A1328" s="4" t="s">
        <v>4545</v>
      </c>
      <c r="B1328" s="255" t="s">
        <v>4546</v>
      </c>
    </row>
    <row r="1329" spans="1:2" x14ac:dyDescent="0.25">
      <c r="A1329" s="4" t="s">
        <v>4547</v>
      </c>
      <c r="B1329" s="255" t="s">
        <v>4548</v>
      </c>
    </row>
    <row r="1330" spans="1:2" x14ac:dyDescent="0.25">
      <c r="A1330" s="4" t="s">
        <v>4549</v>
      </c>
      <c r="B1330" s="255" t="s">
        <v>4550</v>
      </c>
    </row>
    <row r="1331" spans="1:2" x14ac:dyDescent="0.25">
      <c r="A1331" s="4" t="s">
        <v>4551</v>
      </c>
      <c r="B1331" s="255" t="s">
        <v>4552</v>
      </c>
    </row>
    <row r="1332" spans="1:2" x14ac:dyDescent="0.25">
      <c r="A1332" s="4" t="s">
        <v>4553</v>
      </c>
      <c r="B1332" s="255" t="s">
        <v>4554</v>
      </c>
    </row>
    <row r="1333" spans="1:2" x14ac:dyDescent="0.25">
      <c r="A1333" s="4" t="s">
        <v>4555</v>
      </c>
      <c r="B1333" s="255" t="s">
        <v>4556</v>
      </c>
    </row>
    <row r="1334" spans="1:2" x14ac:dyDescent="0.25">
      <c r="A1334" s="4" t="s">
        <v>4557</v>
      </c>
      <c r="B1334" s="255" t="s">
        <v>4558</v>
      </c>
    </row>
    <row r="1335" spans="1:2" x14ac:dyDescent="0.25">
      <c r="A1335" s="4" t="s">
        <v>4559</v>
      </c>
      <c r="B1335" s="255" t="s">
        <v>4560</v>
      </c>
    </row>
    <row r="1336" spans="1:2" x14ac:dyDescent="0.25">
      <c r="A1336" s="4" t="s">
        <v>4561</v>
      </c>
      <c r="B1336" s="255" t="s">
        <v>4562</v>
      </c>
    </row>
    <row r="1337" spans="1:2" x14ac:dyDescent="0.25">
      <c r="A1337" s="4" t="s">
        <v>4563</v>
      </c>
      <c r="B1337" s="255" t="s">
        <v>4564</v>
      </c>
    </row>
    <row r="1338" spans="1:2" x14ac:dyDescent="0.25">
      <c r="A1338" s="4" t="s">
        <v>4565</v>
      </c>
      <c r="B1338" s="255" t="s">
        <v>4566</v>
      </c>
    </row>
    <row r="1339" spans="1:2" x14ac:dyDescent="0.25">
      <c r="A1339" s="4" t="s">
        <v>4567</v>
      </c>
      <c r="B1339" s="253" t="s">
        <v>4568</v>
      </c>
    </row>
    <row r="1340" spans="1:2" x14ac:dyDescent="0.25">
      <c r="A1340" s="4" t="s">
        <v>4569</v>
      </c>
      <c r="B1340" s="253" t="s">
        <v>4570</v>
      </c>
    </row>
    <row r="1341" spans="1:2" x14ac:dyDescent="0.25">
      <c r="A1341" s="4" t="s">
        <v>4571</v>
      </c>
      <c r="B1341" s="253" t="s">
        <v>4572</v>
      </c>
    </row>
    <row r="1342" spans="1:2" x14ac:dyDescent="0.25">
      <c r="A1342" s="4" t="s">
        <v>4573</v>
      </c>
      <c r="B1342" s="253" t="s">
        <v>4574</v>
      </c>
    </row>
    <row r="1343" spans="1:2" x14ac:dyDescent="0.25">
      <c r="A1343" s="4" t="s">
        <v>4575</v>
      </c>
      <c r="B1343" s="253" t="s">
        <v>4576</v>
      </c>
    </row>
    <row r="1344" spans="1:2" x14ac:dyDescent="0.25">
      <c r="A1344" s="4" t="s">
        <v>4577</v>
      </c>
      <c r="B1344" s="255" t="s">
        <v>4578</v>
      </c>
    </row>
    <row r="1345" spans="1:2" x14ac:dyDescent="0.25">
      <c r="A1345" s="4" t="s">
        <v>4579</v>
      </c>
      <c r="B1345" s="255" t="s">
        <v>4580</v>
      </c>
    </row>
    <row r="1346" spans="1:2" x14ac:dyDescent="0.25">
      <c r="A1346" s="4" t="s">
        <v>4581</v>
      </c>
      <c r="B1346" s="255" t="s">
        <v>4582</v>
      </c>
    </row>
    <row r="1347" spans="1:2" x14ac:dyDescent="0.25">
      <c r="A1347" s="4" t="s">
        <v>4583</v>
      </c>
      <c r="B1347" s="255" t="s">
        <v>4584</v>
      </c>
    </row>
    <row r="1348" spans="1:2" x14ac:dyDescent="0.25">
      <c r="A1348" s="4" t="s">
        <v>4585</v>
      </c>
      <c r="B1348" s="255" t="s">
        <v>4586</v>
      </c>
    </row>
    <row r="1349" spans="1:2" x14ac:dyDescent="0.25">
      <c r="A1349" s="4" t="s">
        <v>4587</v>
      </c>
      <c r="B1349" s="255" t="s">
        <v>4588</v>
      </c>
    </row>
    <row r="1350" spans="1:2" x14ac:dyDescent="0.25">
      <c r="A1350" s="4" t="s">
        <v>4589</v>
      </c>
      <c r="B1350" s="255" t="s">
        <v>4590</v>
      </c>
    </row>
    <row r="1351" spans="1:2" x14ac:dyDescent="0.25">
      <c r="A1351" s="4" t="s">
        <v>4591</v>
      </c>
      <c r="B1351" s="255" t="s">
        <v>4592</v>
      </c>
    </row>
    <row r="1352" spans="1:2" x14ac:dyDescent="0.25">
      <c r="A1352" s="4" t="s">
        <v>4593</v>
      </c>
      <c r="B1352" s="255" t="s">
        <v>4594</v>
      </c>
    </row>
    <row r="1353" spans="1:2" x14ac:dyDescent="0.25">
      <c r="A1353" s="4" t="s">
        <v>4595</v>
      </c>
      <c r="B1353" s="255" t="s">
        <v>4596</v>
      </c>
    </row>
    <row r="1354" spans="1:2" x14ac:dyDescent="0.25">
      <c r="A1354" s="4" t="s">
        <v>4597</v>
      </c>
      <c r="B1354" s="255" t="s">
        <v>4598</v>
      </c>
    </row>
    <row r="1355" spans="1:2" x14ac:dyDescent="0.25">
      <c r="A1355" s="4" t="s">
        <v>4599</v>
      </c>
      <c r="B1355" s="255" t="s">
        <v>4600</v>
      </c>
    </row>
    <row r="1356" spans="1:2" x14ac:dyDescent="0.25">
      <c r="A1356" s="4" t="s">
        <v>4601</v>
      </c>
      <c r="B1356" s="255" t="s">
        <v>4602</v>
      </c>
    </row>
    <row r="1357" spans="1:2" x14ac:dyDescent="0.25">
      <c r="A1357" s="4" t="s">
        <v>4603</v>
      </c>
      <c r="B1357" s="255" t="s">
        <v>4604</v>
      </c>
    </row>
    <row r="1358" spans="1:2" x14ac:dyDescent="0.25">
      <c r="A1358" s="4" t="s">
        <v>4605</v>
      </c>
      <c r="B1358" s="255" t="s">
        <v>4606</v>
      </c>
    </row>
    <row r="1359" spans="1:2" x14ac:dyDescent="0.25">
      <c r="A1359" s="4" t="s">
        <v>4607</v>
      </c>
      <c r="B1359" s="255" t="s">
        <v>4608</v>
      </c>
    </row>
    <row r="1360" spans="1:2" x14ac:dyDescent="0.25">
      <c r="A1360" s="4" t="s">
        <v>4609</v>
      </c>
      <c r="B1360" s="255" t="s">
        <v>4610</v>
      </c>
    </row>
    <row r="1361" spans="1:2" x14ac:dyDescent="0.25">
      <c r="A1361" s="4" t="s">
        <v>4611</v>
      </c>
      <c r="B1361" s="255" t="s">
        <v>4612</v>
      </c>
    </row>
    <row r="1362" spans="1:2" x14ac:dyDescent="0.25">
      <c r="A1362" s="4" t="s">
        <v>4613</v>
      </c>
      <c r="B1362" s="255" t="s">
        <v>4614</v>
      </c>
    </row>
    <row r="1363" spans="1:2" x14ac:dyDescent="0.25">
      <c r="A1363" s="4" t="s">
        <v>4615</v>
      </c>
      <c r="B1363" s="255" t="s">
        <v>4616</v>
      </c>
    </row>
    <row r="1364" spans="1:2" x14ac:dyDescent="0.25">
      <c r="A1364" s="4" t="s">
        <v>4617</v>
      </c>
      <c r="B1364" s="255" t="s">
        <v>4618</v>
      </c>
    </row>
    <row r="1365" spans="1:2" x14ac:dyDescent="0.25">
      <c r="A1365" s="4" t="s">
        <v>4619</v>
      </c>
      <c r="B1365" s="255" t="s">
        <v>4620</v>
      </c>
    </row>
    <row r="1366" spans="1:2" x14ac:dyDescent="0.25">
      <c r="A1366" s="4" t="s">
        <v>4621</v>
      </c>
      <c r="B1366" s="255" t="s">
        <v>4622</v>
      </c>
    </row>
    <row r="1367" spans="1:2" x14ac:dyDescent="0.25">
      <c r="A1367" s="4" t="s">
        <v>4623</v>
      </c>
      <c r="B1367" s="255" t="s">
        <v>4624</v>
      </c>
    </row>
    <row r="1368" spans="1:2" x14ac:dyDescent="0.25">
      <c r="A1368" s="4" t="s">
        <v>4625</v>
      </c>
      <c r="B1368" s="255" t="s">
        <v>4626</v>
      </c>
    </row>
    <row r="1369" spans="1:2" x14ac:dyDescent="0.25">
      <c r="A1369" s="4" t="s">
        <v>4627</v>
      </c>
      <c r="B1369" s="255" t="s">
        <v>4628</v>
      </c>
    </row>
    <row r="1370" spans="1:2" x14ac:dyDescent="0.25">
      <c r="A1370" s="4" t="s">
        <v>4629</v>
      </c>
      <c r="B1370" s="255" t="s">
        <v>4630</v>
      </c>
    </row>
    <row r="1371" spans="1:2" x14ac:dyDescent="0.25">
      <c r="A1371" s="4" t="s">
        <v>4631</v>
      </c>
      <c r="B1371" s="255" t="s">
        <v>4632</v>
      </c>
    </row>
    <row r="1372" spans="1:2" x14ac:dyDescent="0.25">
      <c r="A1372" s="4" t="s">
        <v>4633</v>
      </c>
      <c r="B1372" s="255" t="s">
        <v>4634</v>
      </c>
    </row>
    <row r="1373" spans="1:2" x14ac:dyDescent="0.25">
      <c r="A1373" s="4" t="s">
        <v>4635</v>
      </c>
      <c r="B1373" s="253" t="s">
        <v>4636</v>
      </c>
    </row>
    <row r="1374" spans="1:2" x14ac:dyDescent="0.25">
      <c r="A1374" s="4" t="s">
        <v>4637</v>
      </c>
      <c r="B1374" s="253" t="s">
        <v>4638</v>
      </c>
    </row>
    <row r="1375" spans="1:2" x14ac:dyDescent="0.25">
      <c r="A1375" s="4" t="s">
        <v>4639</v>
      </c>
      <c r="B1375" s="253" t="s">
        <v>4640</v>
      </c>
    </row>
    <row r="1376" spans="1:2" x14ac:dyDescent="0.25">
      <c r="A1376" s="4" t="s">
        <v>4641</v>
      </c>
      <c r="B1376" s="255" t="s">
        <v>4642</v>
      </c>
    </row>
    <row r="1377" spans="1:2" x14ac:dyDescent="0.25">
      <c r="A1377" s="4" t="s">
        <v>4643</v>
      </c>
      <c r="B1377" s="253" t="s">
        <v>4644</v>
      </c>
    </row>
    <row r="1378" spans="1:2" x14ac:dyDescent="0.25">
      <c r="A1378" s="4" t="s">
        <v>4645</v>
      </c>
      <c r="B1378" s="255" t="s">
        <v>4590</v>
      </c>
    </row>
    <row r="1379" spans="1:2" x14ac:dyDescent="0.25">
      <c r="A1379" s="4" t="s">
        <v>4646</v>
      </c>
      <c r="B1379" s="255" t="s">
        <v>4647</v>
      </c>
    </row>
    <row r="1380" spans="1:2" x14ac:dyDescent="0.25">
      <c r="A1380" s="4" t="s">
        <v>4648</v>
      </c>
      <c r="B1380" s="255" t="s">
        <v>4649</v>
      </c>
    </row>
    <row r="1381" spans="1:2" x14ac:dyDescent="0.25">
      <c r="A1381" s="4" t="s">
        <v>4650</v>
      </c>
      <c r="B1381" s="253" t="s">
        <v>4651</v>
      </c>
    </row>
    <row r="1382" spans="1:2" x14ac:dyDescent="0.25">
      <c r="A1382" s="4" t="s">
        <v>4652</v>
      </c>
      <c r="B1382" s="255" t="s">
        <v>4562</v>
      </c>
    </row>
    <row r="1383" spans="1:2" x14ac:dyDescent="0.25">
      <c r="A1383" s="4" t="s">
        <v>4653</v>
      </c>
      <c r="B1383" s="255" t="s">
        <v>4206</v>
      </c>
    </row>
    <row r="1384" spans="1:2" x14ac:dyDescent="0.25">
      <c r="A1384" s="4" t="s">
        <v>4654</v>
      </c>
      <c r="B1384" s="255" t="s">
        <v>4208</v>
      </c>
    </row>
    <row r="1385" spans="1:2" x14ac:dyDescent="0.25">
      <c r="A1385" s="4" t="s">
        <v>4655</v>
      </c>
      <c r="B1385" s="255" t="s">
        <v>4210</v>
      </c>
    </row>
    <row r="1386" spans="1:2" x14ac:dyDescent="0.25">
      <c r="A1386" s="4" t="s">
        <v>4656</v>
      </c>
      <c r="B1386" s="255" t="s">
        <v>4232</v>
      </c>
    </row>
    <row r="1387" spans="1:2" x14ac:dyDescent="0.25">
      <c r="A1387" s="4" t="s">
        <v>4657</v>
      </c>
      <c r="B1387" s="255" t="s">
        <v>4204</v>
      </c>
    </row>
    <row r="1388" spans="1:2" x14ac:dyDescent="0.25">
      <c r="A1388" s="4" t="s">
        <v>4658</v>
      </c>
      <c r="B1388" s="255" t="s">
        <v>4282</v>
      </c>
    </row>
    <row r="1389" spans="1:2" x14ac:dyDescent="0.25">
      <c r="A1389" s="4" t="s">
        <v>4659</v>
      </c>
      <c r="B1389" s="255" t="s">
        <v>4566</v>
      </c>
    </row>
    <row r="1390" spans="1:2" x14ac:dyDescent="0.25">
      <c r="A1390" s="4" t="s">
        <v>4660</v>
      </c>
      <c r="B1390" s="255" t="s">
        <v>4661</v>
      </c>
    </row>
    <row r="1391" spans="1:2" x14ac:dyDescent="0.25">
      <c r="A1391" s="4" t="s">
        <v>4662</v>
      </c>
      <c r="B1391" s="255" t="s">
        <v>4663</v>
      </c>
    </row>
    <row r="1392" spans="1:2" x14ac:dyDescent="0.25">
      <c r="A1392" s="4" t="s">
        <v>4664</v>
      </c>
      <c r="B1392" s="255" t="s">
        <v>4665</v>
      </c>
    </row>
    <row r="1393" spans="1:2" x14ac:dyDescent="0.25">
      <c r="A1393" s="4" t="s">
        <v>4666</v>
      </c>
      <c r="B1393" s="255" t="s">
        <v>4667</v>
      </c>
    </row>
    <row r="1394" spans="1:2" x14ac:dyDescent="0.25">
      <c r="A1394" s="4" t="s">
        <v>4668</v>
      </c>
      <c r="B1394" s="255" t="s">
        <v>4669</v>
      </c>
    </row>
    <row r="1395" spans="1:2" x14ac:dyDescent="0.25">
      <c r="A1395" s="4" t="s">
        <v>4670</v>
      </c>
      <c r="B1395" s="255" t="s">
        <v>4671</v>
      </c>
    </row>
    <row r="1396" spans="1:2" x14ac:dyDescent="0.25">
      <c r="A1396" s="4" t="s">
        <v>4672</v>
      </c>
      <c r="B1396" s="255" t="s">
        <v>4673</v>
      </c>
    </row>
    <row r="1397" spans="1:2" x14ac:dyDescent="0.25">
      <c r="A1397" s="4" t="s">
        <v>4674</v>
      </c>
      <c r="B1397" s="255" t="s">
        <v>4675</v>
      </c>
    </row>
    <row r="1398" spans="1:2" x14ac:dyDescent="0.25">
      <c r="A1398" s="4" t="s">
        <v>4676</v>
      </c>
      <c r="B1398" s="255" t="s">
        <v>4677</v>
      </c>
    </row>
    <row r="1399" spans="1:2" x14ac:dyDescent="0.25">
      <c r="A1399" s="4" t="s">
        <v>4678</v>
      </c>
      <c r="B1399" s="255" t="s">
        <v>4679</v>
      </c>
    </row>
    <row r="1400" spans="1:2" x14ac:dyDescent="0.25">
      <c r="A1400" s="4" t="s">
        <v>4680</v>
      </c>
      <c r="B1400" s="255" t="s">
        <v>4681</v>
      </c>
    </row>
    <row r="1401" spans="1:2" x14ac:dyDescent="0.25">
      <c r="A1401" s="4" t="s">
        <v>4682</v>
      </c>
      <c r="B1401" s="255" t="s">
        <v>4683</v>
      </c>
    </row>
    <row r="1402" spans="1:2" x14ac:dyDescent="0.25">
      <c r="A1402" s="4" t="s">
        <v>4684</v>
      </c>
      <c r="B1402" s="255" t="s">
        <v>4170</v>
      </c>
    </row>
    <row r="1403" spans="1:2" x14ac:dyDescent="0.25">
      <c r="A1403" s="4" t="s">
        <v>4685</v>
      </c>
      <c r="B1403" s="255" t="s">
        <v>4218</v>
      </c>
    </row>
    <row r="1404" spans="1:2" x14ac:dyDescent="0.25">
      <c r="A1404" s="4" t="s">
        <v>4686</v>
      </c>
      <c r="B1404" s="255" t="s">
        <v>4506</v>
      </c>
    </row>
    <row r="1405" spans="1:2" x14ac:dyDescent="0.25">
      <c r="A1405" s="4" t="s">
        <v>4687</v>
      </c>
      <c r="B1405" s="255" t="s">
        <v>4688</v>
      </c>
    </row>
    <row r="1406" spans="1:2" x14ac:dyDescent="0.25">
      <c r="A1406" s="4" t="s">
        <v>4689</v>
      </c>
      <c r="B1406" s="255" t="s">
        <v>4690</v>
      </c>
    </row>
    <row r="1407" spans="1:2" x14ac:dyDescent="0.25">
      <c r="A1407" s="4" t="s">
        <v>4691</v>
      </c>
      <c r="B1407" s="255" t="s">
        <v>4692</v>
      </c>
    </row>
    <row r="1408" spans="1:2" x14ac:dyDescent="0.25">
      <c r="A1408" s="4" t="s">
        <v>4693</v>
      </c>
      <c r="B1408" s="255" t="s">
        <v>4222</v>
      </c>
    </row>
    <row r="1409" spans="1:2" x14ac:dyDescent="0.25">
      <c r="A1409" s="4" t="s">
        <v>4694</v>
      </c>
      <c r="B1409" s="255" t="s">
        <v>4144</v>
      </c>
    </row>
    <row r="1410" spans="1:2" x14ac:dyDescent="0.25">
      <c r="A1410" s="4" t="s">
        <v>4695</v>
      </c>
      <c r="B1410" s="255" t="s">
        <v>4286</v>
      </c>
    </row>
    <row r="1411" spans="1:2" x14ac:dyDescent="0.25">
      <c r="A1411" s="4" t="s">
        <v>4696</v>
      </c>
      <c r="B1411" s="255" t="s">
        <v>4288</v>
      </c>
    </row>
    <row r="1412" spans="1:2" x14ac:dyDescent="0.25">
      <c r="A1412" s="4" t="s">
        <v>4697</v>
      </c>
      <c r="B1412" s="255" t="s">
        <v>4338</v>
      </c>
    </row>
    <row r="1413" spans="1:2" x14ac:dyDescent="0.25">
      <c r="A1413" s="4" t="s">
        <v>4698</v>
      </c>
      <c r="B1413" s="255" t="s">
        <v>4570</v>
      </c>
    </row>
    <row r="1414" spans="1:2" x14ac:dyDescent="0.25">
      <c r="A1414" s="4" t="s">
        <v>4699</v>
      </c>
      <c r="B1414" s="255" t="s">
        <v>4700</v>
      </c>
    </row>
    <row r="1415" spans="1:2" x14ac:dyDescent="0.25">
      <c r="A1415" s="4" t="s">
        <v>4701</v>
      </c>
      <c r="B1415" s="255" t="s">
        <v>4702</v>
      </c>
    </row>
    <row r="1416" spans="1:2" x14ac:dyDescent="0.25">
      <c r="A1416" s="4" t="s">
        <v>4703</v>
      </c>
      <c r="B1416" s="255" t="s">
        <v>4704</v>
      </c>
    </row>
    <row r="1417" spans="1:2" x14ac:dyDescent="0.25">
      <c r="A1417" s="4" t="s">
        <v>4705</v>
      </c>
      <c r="B1417" s="255" t="s">
        <v>4706</v>
      </c>
    </row>
    <row r="1418" spans="1:2" x14ac:dyDescent="0.25">
      <c r="A1418" s="4" t="s">
        <v>4707</v>
      </c>
      <c r="B1418" s="255" t="s">
        <v>4708</v>
      </c>
    </row>
    <row r="1419" spans="1:2" x14ac:dyDescent="0.25">
      <c r="A1419" s="4" t="s">
        <v>4709</v>
      </c>
      <c r="B1419" s="255" t="s">
        <v>4710</v>
      </c>
    </row>
    <row r="1420" spans="1:2" x14ac:dyDescent="0.25">
      <c r="A1420" s="4" t="s">
        <v>4711</v>
      </c>
      <c r="B1420" s="255" t="s">
        <v>4712</v>
      </c>
    </row>
    <row r="1421" spans="1:2" x14ac:dyDescent="0.25">
      <c r="A1421" s="4" t="s">
        <v>4713</v>
      </c>
      <c r="B1421" s="255" t="s">
        <v>4714</v>
      </c>
    </row>
    <row r="1422" spans="1:2" x14ac:dyDescent="0.25">
      <c r="A1422" s="4" t="s">
        <v>4715</v>
      </c>
      <c r="B1422" s="255" t="s">
        <v>4716</v>
      </c>
    </row>
    <row r="1423" spans="1:2" x14ac:dyDescent="0.25">
      <c r="A1423" s="4" t="s">
        <v>4717</v>
      </c>
      <c r="B1423" s="255" t="s">
        <v>4718</v>
      </c>
    </row>
    <row r="1424" spans="1:2" x14ac:dyDescent="0.25">
      <c r="A1424" s="4" t="s">
        <v>4719</v>
      </c>
      <c r="B1424" s="255" t="s">
        <v>4720</v>
      </c>
    </row>
    <row r="1425" spans="1:2" x14ac:dyDescent="0.25">
      <c r="A1425" s="4" t="s">
        <v>4721</v>
      </c>
      <c r="B1425" s="255" t="s">
        <v>4722</v>
      </c>
    </row>
    <row r="1426" spans="1:2" x14ac:dyDescent="0.25">
      <c r="A1426" s="4" t="s">
        <v>4723</v>
      </c>
      <c r="B1426" s="255" t="s">
        <v>4724</v>
      </c>
    </row>
    <row r="1427" spans="1:2" x14ac:dyDescent="0.25">
      <c r="A1427" s="4" t="s">
        <v>4725</v>
      </c>
      <c r="B1427" s="255" t="s">
        <v>4726</v>
      </c>
    </row>
    <row r="1428" spans="1:2" x14ac:dyDescent="0.25">
      <c r="A1428" s="4" t="s">
        <v>4727</v>
      </c>
      <c r="B1428" s="255" t="s">
        <v>4728</v>
      </c>
    </row>
    <row r="1429" spans="1:2" x14ac:dyDescent="0.25">
      <c r="A1429" s="4" t="s">
        <v>4729</v>
      </c>
      <c r="B1429" s="255" t="s">
        <v>4730</v>
      </c>
    </row>
    <row r="1430" spans="1:2" x14ac:dyDescent="0.25">
      <c r="A1430" s="4" t="s">
        <v>4731</v>
      </c>
      <c r="B1430" s="255" t="s">
        <v>4732</v>
      </c>
    </row>
    <row r="1431" spans="1:2" x14ac:dyDescent="0.25">
      <c r="A1431" s="4" t="s">
        <v>4733</v>
      </c>
      <c r="B1431" s="255" t="s">
        <v>4734</v>
      </c>
    </row>
    <row r="1432" spans="1:2" x14ac:dyDescent="0.25">
      <c r="A1432" s="4" t="s">
        <v>4735</v>
      </c>
      <c r="B1432" s="253" t="s">
        <v>4736</v>
      </c>
    </row>
    <row r="1433" spans="1:2" x14ac:dyDescent="0.25">
      <c r="A1433" s="4" t="s">
        <v>4737</v>
      </c>
      <c r="B1433" s="253" t="s">
        <v>4738</v>
      </c>
    </row>
    <row r="1434" spans="1:2" x14ac:dyDescent="0.25">
      <c r="A1434" s="4" t="s">
        <v>4739</v>
      </c>
      <c r="B1434" s="253" t="s">
        <v>4740</v>
      </c>
    </row>
    <row r="1435" spans="1:2" x14ac:dyDescent="0.25">
      <c r="A1435" s="4" t="s">
        <v>4741</v>
      </c>
      <c r="B1435" s="253" t="s">
        <v>4742</v>
      </c>
    </row>
    <row r="1436" spans="1:2" x14ac:dyDescent="0.25">
      <c r="A1436" s="4" t="s">
        <v>4743</v>
      </c>
      <c r="B1436" s="253" t="s">
        <v>4744</v>
      </c>
    </row>
    <row r="1437" spans="1:2" x14ac:dyDescent="0.25">
      <c r="A1437" s="4" t="s">
        <v>4745</v>
      </c>
      <c r="B1437" s="253" t="s">
        <v>4746</v>
      </c>
    </row>
    <row r="1438" spans="1:2" x14ac:dyDescent="0.25">
      <c r="A1438" s="4" t="s">
        <v>4747</v>
      </c>
      <c r="B1438" s="253" t="s">
        <v>4748</v>
      </c>
    </row>
    <row r="1439" spans="1:2" x14ac:dyDescent="0.25">
      <c r="A1439" s="252" t="s">
        <v>4749</v>
      </c>
      <c r="B1439" s="253" t="s">
        <v>4750</v>
      </c>
    </row>
    <row r="1440" spans="1:2" x14ac:dyDescent="0.25">
      <c r="A1440" s="256" t="s">
        <v>4751</v>
      </c>
      <c r="B1440" s="253" t="s">
        <v>4752</v>
      </c>
    </row>
    <row r="1441" spans="1:2" x14ac:dyDescent="0.25">
      <c r="A1441" s="4" t="s">
        <v>353</v>
      </c>
      <c r="B1441" s="255" t="s">
        <v>4753</v>
      </c>
    </row>
    <row r="1442" spans="1:2" x14ac:dyDescent="0.25">
      <c r="A1442" s="4" t="s">
        <v>355</v>
      </c>
      <c r="B1442" s="255" t="s">
        <v>4754</v>
      </c>
    </row>
    <row r="1443" spans="1:2" x14ac:dyDescent="0.25">
      <c r="A1443" s="4" t="s">
        <v>362</v>
      </c>
      <c r="B1443" s="255" t="s">
        <v>4755</v>
      </c>
    </row>
    <row r="1444" spans="1:2" x14ac:dyDescent="0.25">
      <c r="A1444" s="4" t="s">
        <v>366</v>
      </c>
      <c r="B1444" s="255" t="s">
        <v>4756</v>
      </c>
    </row>
    <row r="1445" spans="1:2" x14ac:dyDescent="0.25">
      <c r="A1445" s="4" t="s">
        <v>368</v>
      </c>
      <c r="B1445" s="255" t="s">
        <v>4757</v>
      </c>
    </row>
    <row r="1446" spans="1:2" x14ac:dyDescent="0.25">
      <c r="A1446" s="4" t="s">
        <v>372</v>
      </c>
      <c r="B1446" s="255" t="s">
        <v>4758</v>
      </c>
    </row>
    <row r="1447" spans="1:2" x14ac:dyDescent="0.25">
      <c r="A1447" s="4" t="s">
        <v>370</v>
      </c>
      <c r="B1447" s="255" t="s">
        <v>4759</v>
      </c>
    </row>
    <row r="1448" spans="1:2" x14ac:dyDescent="0.25">
      <c r="A1448" s="4" t="s">
        <v>379</v>
      </c>
      <c r="B1448" s="255" t="s">
        <v>4760</v>
      </c>
    </row>
    <row r="1449" spans="1:2" x14ac:dyDescent="0.25">
      <c r="A1449" s="4" t="s">
        <v>384</v>
      </c>
      <c r="B1449" s="255" t="s">
        <v>4761</v>
      </c>
    </row>
    <row r="1450" spans="1:2" x14ac:dyDescent="0.25">
      <c r="A1450" s="4" t="s">
        <v>211</v>
      </c>
      <c r="B1450" s="255" t="s">
        <v>4762</v>
      </c>
    </row>
    <row r="1451" spans="1:2" x14ac:dyDescent="0.25">
      <c r="A1451" s="4" t="s">
        <v>234</v>
      </c>
      <c r="B1451" s="255" t="s">
        <v>4763</v>
      </c>
    </row>
    <row r="1452" spans="1:2" x14ac:dyDescent="0.25">
      <c r="A1452" s="4" t="s">
        <v>243</v>
      </c>
      <c r="B1452" s="255" t="s">
        <v>4764</v>
      </c>
    </row>
    <row r="1453" spans="1:2" x14ac:dyDescent="0.25">
      <c r="A1453" s="4" t="s">
        <v>487</v>
      </c>
      <c r="B1453" s="255" t="s">
        <v>4765</v>
      </c>
    </row>
    <row r="1454" spans="1:2" x14ac:dyDescent="0.25">
      <c r="A1454" s="4" t="s">
        <v>506</v>
      </c>
      <c r="B1454" s="255" t="s">
        <v>4766</v>
      </c>
    </row>
    <row r="1455" spans="1:2" x14ac:dyDescent="0.25">
      <c r="A1455" s="4" t="s">
        <v>991</v>
      </c>
      <c r="B1455" s="255" t="s">
        <v>4767</v>
      </c>
    </row>
    <row r="1456" spans="1:2" ht="24" x14ac:dyDescent="0.25">
      <c r="A1456" s="4" t="s">
        <v>993</v>
      </c>
      <c r="B1456" s="255" t="s">
        <v>4768</v>
      </c>
    </row>
    <row r="1457" spans="1:2" x14ac:dyDescent="0.25">
      <c r="A1457" s="4" t="s">
        <v>543</v>
      </c>
      <c r="B1457" s="255" t="s">
        <v>4769</v>
      </c>
    </row>
    <row r="1458" spans="1:2" x14ac:dyDescent="0.25">
      <c r="A1458" s="4" t="s">
        <v>548</v>
      </c>
      <c r="B1458" s="255" t="s">
        <v>4770</v>
      </c>
    </row>
    <row r="1459" spans="1:2" x14ac:dyDescent="0.25">
      <c r="A1459" s="4" t="s">
        <v>550</v>
      </c>
      <c r="B1459" s="255" t="s">
        <v>4771</v>
      </c>
    </row>
    <row r="1460" spans="1:2" x14ac:dyDescent="0.25">
      <c r="A1460" s="4" t="s">
        <v>552</v>
      </c>
      <c r="B1460" s="255" t="s">
        <v>4772</v>
      </c>
    </row>
    <row r="1461" spans="1:2" x14ac:dyDescent="0.25">
      <c r="A1461" s="4" t="s">
        <v>554</v>
      </c>
      <c r="B1461" s="255" t="s">
        <v>4773</v>
      </c>
    </row>
    <row r="1462" spans="1:2" x14ac:dyDescent="0.25">
      <c r="A1462" s="4" t="s">
        <v>203</v>
      </c>
      <c r="B1462" s="255" t="s">
        <v>4774</v>
      </c>
    </row>
    <row r="1463" spans="1:2" x14ac:dyDescent="0.25">
      <c r="A1463" s="4" t="s">
        <v>167</v>
      </c>
      <c r="B1463" s="255" t="s">
        <v>4775</v>
      </c>
    </row>
    <row r="1464" spans="1:2" x14ac:dyDescent="0.25">
      <c r="A1464" s="4" t="s">
        <v>589</v>
      </c>
      <c r="B1464" s="255" t="s">
        <v>4776</v>
      </c>
    </row>
    <row r="1465" spans="1:2" x14ac:dyDescent="0.25">
      <c r="A1465" s="4" t="s">
        <v>603</v>
      </c>
      <c r="B1465" s="255" t="s">
        <v>4777</v>
      </c>
    </row>
    <row r="1466" spans="1:2" x14ac:dyDescent="0.25">
      <c r="A1466" s="4" t="s">
        <v>611</v>
      </c>
      <c r="B1466" s="255" t="s">
        <v>4778</v>
      </c>
    </row>
    <row r="1467" spans="1:2" x14ac:dyDescent="0.25">
      <c r="A1467" s="4" t="s">
        <v>636</v>
      </c>
      <c r="B1467" s="255" t="s">
        <v>4779</v>
      </c>
    </row>
    <row r="1468" spans="1:2" x14ac:dyDescent="0.25">
      <c r="A1468" s="4" t="s">
        <v>639</v>
      </c>
      <c r="B1468" s="255" t="s">
        <v>4780</v>
      </c>
    </row>
    <row r="1469" spans="1:2" x14ac:dyDescent="0.25">
      <c r="A1469" s="4" t="s">
        <v>659</v>
      </c>
      <c r="B1469" s="255" t="s">
        <v>4781</v>
      </c>
    </row>
    <row r="1470" spans="1:2" x14ac:dyDescent="0.25">
      <c r="A1470" s="4" t="s">
        <v>663</v>
      </c>
      <c r="B1470" s="255" t="s">
        <v>4782</v>
      </c>
    </row>
    <row r="1471" spans="1:2" x14ac:dyDescent="0.25">
      <c r="A1471" s="4" t="s">
        <v>668</v>
      </c>
      <c r="B1471" s="255" t="s">
        <v>4783</v>
      </c>
    </row>
    <row r="1472" spans="1:2" x14ac:dyDescent="0.25">
      <c r="A1472" s="4" t="s">
        <v>681</v>
      </c>
      <c r="B1472" s="255" t="s">
        <v>4784</v>
      </c>
    </row>
    <row r="1473" spans="1:2" x14ac:dyDescent="0.25">
      <c r="A1473" s="4" t="s">
        <v>710</v>
      </c>
      <c r="B1473" s="255" t="s">
        <v>4785</v>
      </c>
    </row>
    <row r="1474" spans="1:2" x14ac:dyDescent="0.25">
      <c r="A1474" s="4" t="s">
        <v>713</v>
      </c>
      <c r="B1474" s="255" t="s">
        <v>4786</v>
      </c>
    </row>
    <row r="1475" spans="1:2" x14ac:dyDescent="0.25">
      <c r="A1475" s="4" t="s">
        <v>742</v>
      </c>
      <c r="B1475" s="255" t="s">
        <v>4787</v>
      </c>
    </row>
    <row r="1476" spans="1:2" x14ac:dyDescent="0.25">
      <c r="A1476" s="4" t="s">
        <v>746</v>
      </c>
      <c r="B1476" s="255" t="s">
        <v>4788</v>
      </c>
    </row>
    <row r="1477" spans="1:2" x14ac:dyDescent="0.25">
      <c r="A1477" s="4" t="s">
        <v>750</v>
      </c>
      <c r="B1477" s="255" t="s">
        <v>4789</v>
      </c>
    </row>
    <row r="1478" spans="1:2" x14ac:dyDescent="0.25">
      <c r="A1478" s="4" t="s">
        <v>767</v>
      </c>
      <c r="B1478" s="255" t="s">
        <v>4790</v>
      </c>
    </row>
    <row r="1479" spans="1:2" x14ac:dyDescent="0.25">
      <c r="A1479" s="4" t="s">
        <v>781</v>
      </c>
      <c r="B1479" s="255" t="s">
        <v>4791</v>
      </c>
    </row>
    <row r="1480" spans="1:2" x14ac:dyDescent="0.25">
      <c r="A1480" s="4" t="s">
        <v>786</v>
      </c>
      <c r="B1480" s="255" t="s">
        <v>4792</v>
      </c>
    </row>
    <row r="1481" spans="1:2" x14ac:dyDescent="0.25">
      <c r="A1481" s="4" t="s">
        <v>789</v>
      </c>
      <c r="B1481" s="255" t="s">
        <v>4793</v>
      </c>
    </row>
    <row r="1482" spans="1:2" x14ac:dyDescent="0.25">
      <c r="A1482" s="4" t="s">
        <v>881</v>
      </c>
      <c r="B1482" s="255" t="s">
        <v>4794</v>
      </c>
    </row>
    <row r="1483" spans="1:2" x14ac:dyDescent="0.25">
      <c r="A1483" s="4" t="s">
        <v>885</v>
      </c>
      <c r="B1483" s="255" t="s">
        <v>4795</v>
      </c>
    </row>
    <row r="1484" spans="1:2" x14ac:dyDescent="0.25">
      <c r="A1484" s="4" t="s">
        <v>534</v>
      </c>
      <c r="B1484" s="255" t="s">
        <v>4796</v>
      </c>
    </row>
    <row r="1485" spans="1:2" x14ac:dyDescent="0.25">
      <c r="A1485" s="4" t="s">
        <v>901</v>
      </c>
      <c r="B1485" s="255" t="s">
        <v>4797</v>
      </c>
    </row>
    <row r="1486" spans="1:2" x14ac:dyDescent="0.25">
      <c r="A1486" s="4" t="s">
        <v>213</v>
      </c>
      <c r="B1486" s="255" t="s">
        <v>4798</v>
      </c>
    </row>
    <row r="1487" spans="1:2" x14ac:dyDescent="0.25">
      <c r="A1487" s="4" t="s">
        <v>927</v>
      </c>
      <c r="B1487" s="255" t="s">
        <v>4799</v>
      </c>
    </row>
    <row r="1488" spans="1:2" x14ac:dyDescent="0.25">
      <c r="A1488" s="4" t="s">
        <v>929</v>
      </c>
      <c r="B1488" s="255" t="s">
        <v>4800</v>
      </c>
    </row>
    <row r="1489" spans="1:2" x14ac:dyDescent="0.25">
      <c r="A1489" s="4" t="s">
        <v>938</v>
      </c>
      <c r="B1489" s="255" t="s">
        <v>4801</v>
      </c>
    </row>
    <row r="1490" spans="1:2" x14ac:dyDescent="0.25">
      <c r="A1490" s="4" t="s">
        <v>256</v>
      </c>
      <c r="B1490" s="255" t="s">
        <v>4802</v>
      </c>
    </row>
    <row r="1491" spans="1:2" x14ac:dyDescent="0.25">
      <c r="A1491" s="4" t="s">
        <v>258</v>
      </c>
      <c r="B1491" s="255" t="s">
        <v>4803</v>
      </c>
    </row>
    <row r="1492" spans="1:2" x14ac:dyDescent="0.25">
      <c r="A1492" s="4" t="s">
        <v>269</v>
      </c>
      <c r="B1492" s="255" t="s">
        <v>4804</v>
      </c>
    </row>
    <row r="1493" spans="1:2" x14ac:dyDescent="0.25">
      <c r="A1493" s="4" t="s">
        <v>1013</v>
      </c>
      <c r="B1493" s="255" t="s">
        <v>4805</v>
      </c>
    </row>
    <row r="1494" spans="1:2" x14ac:dyDescent="0.25">
      <c r="A1494" s="4" t="s">
        <v>1016</v>
      </c>
      <c r="B1494" s="255" t="s">
        <v>4806</v>
      </c>
    </row>
    <row r="1495" spans="1:2" x14ac:dyDescent="0.25">
      <c r="A1495" s="4" t="s">
        <v>1018</v>
      </c>
      <c r="B1495" s="255" t="s">
        <v>4807</v>
      </c>
    </row>
    <row r="1496" spans="1:2" x14ac:dyDescent="0.25">
      <c r="A1496" s="4" t="s">
        <v>1024</v>
      </c>
      <c r="B1496" s="255" t="s">
        <v>4808</v>
      </c>
    </row>
    <row r="1497" spans="1:2" x14ac:dyDescent="0.25">
      <c r="A1497" s="4" t="s">
        <v>1028</v>
      </c>
      <c r="B1497" s="255" t="s">
        <v>4809</v>
      </c>
    </row>
    <row r="1498" spans="1:2" x14ac:dyDescent="0.25">
      <c r="A1498" s="4" t="s">
        <v>504</v>
      </c>
      <c r="B1498" s="255" t="s">
        <v>4810</v>
      </c>
    </row>
    <row r="1499" spans="1:2" x14ac:dyDescent="0.25">
      <c r="A1499" s="4" t="s">
        <v>1167</v>
      </c>
      <c r="B1499" s="255" t="s">
        <v>4811</v>
      </c>
    </row>
    <row r="1500" spans="1:2" x14ac:dyDescent="0.25">
      <c r="A1500" s="4" t="s">
        <v>1165</v>
      </c>
      <c r="B1500" s="255" t="s">
        <v>4812</v>
      </c>
    </row>
    <row r="1501" spans="1:2" x14ac:dyDescent="0.25">
      <c r="A1501" s="4" t="s">
        <v>1160</v>
      </c>
      <c r="B1501" s="255" t="s">
        <v>4813</v>
      </c>
    </row>
    <row r="1502" spans="1:2" x14ac:dyDescent="0.25">
      <c r="A1502" s="4" t="s">
        <v>519</v>
      </c>
      <c r="B1502" s="255" t="s">
        <v>4814</v>
      </c>
    </row>
    <row r="1503" spans="1:2" x14ac:dyDescent="0.25">
      <c r="A1503" s="4" t="s">
        <v>4815</v>
      </c>
      <c r="B1503" s="255" t="s">
        <v>4816</v>
      </c>
    </row>
    <row r="1504" spans="1:2" x14ac:dyDescent="0.25">
      <c r="A1504" s="4" t="s">
        <v>237</v>
      </c>
      <c r="B1504" s="255" t="s">
        <v>4817</v>
      </c>
    </row>
    <row r="1505" spans="1:2" x14ac:dyDescent="0.25">
      <c r="A1505" s="4" t="s">
        <v>419</v>
      </c>
      <c r="B1505" s="255" t="s">
        <v>4818</v>
      </c>
    </row>
    <row r="1506" spans="1:2" x14ac:dyDescent="0.25">
      <c r="A1506" s="4" t="s">
        <v>936</v>
      </c>
      <c r="B1506" s="255" t="s">
        <v>4819</v>
      </c>
    </row>
    <row r="1507" spans="1:2" x14ac:dyDescent="0.25">
      <c r="A1507" s="4" t="s">
        <v>421</v>
      </c>
      <c r="B1507" s="255" t="s">
        <v>4820</v>
      </c>
    </row>
    <row r="1508" spans="1:2" x14ac:dyDescent="0.25">
      <c r="A1508" s="4" t="s">
        <v>425</v>
      </c>
      <c r="B1508" s="255" t="s">
        <v>4821</v>
      </c>
    </row>
    <row r="1509" spans="1:2" x14ac:dyDescent="0.25">
      <c r="A1509" s="4" t="s">
        <v>1179</v>
      </c>
      <c r="B1509" s="255" t="s">
        <v>4822</v>
      </c>
    </row>
    <row r="1510" spans="1:2" x14ac:dyDescent="0.25">
      <c r="A1510" s="4" t="s">
        <v>1184</v>
      </c>
      <c r="B1510" s="255" t="s">
        <v>4823</v>
      </c>
    </row>
    <row r="1511" spans="1:2" x14ac:dyDescent="0.25">
      <c r="A1511" s="4" t="s">
        <v>1186</v>
      </c>
      <c r="B1511" s="255" t="s">
        <v>4824</v>
      </c>
    </row>
    <row r="1512" spans="1:2" x14ac:dyDescent="0.25">
      <c r="A1512" s="4" t="s">
        <v>1189</v>
      </c>
      <c r="B1512" s="255" t="s">
        <v>4825</v>
      </c>
    </row>
    <row r="1513" spans="1:2" x14ac:dyDescent="0.25">
      <c r="A1513" s="4" t="s">
        <v>196</v>
      </c>
      <c r="B1513" s="255" t="s">
        <v>4826</v>
      </c>
    </row>
    <row r="1514" spans="1:2" x14ac:dyDescent="0.25">
      <c r="A1514" s="4" t="s">
        <v>395</v>
      </c>
      <c r="B1514" s="255" t="s">
        <v>4827</v>
      </c>
    </row>
    <row r="1515" spans="1:2" x14ac:dyDescent="0.25">
      <c r="A1515" s="4" t="s">
        <v>397</v>
      </c>
      <c r="B1515" s="255" t="s">
        <v>4828</v>
      </c>
    </row>
    <row r="1516" spans="1:2" x14ac:dyDescent="0.25">
      <c r="A1516" s="4" t="s">
        <v>483</v>
      </c>
      <c r="B1516" s="255" t="s">
        <v>4829</v>
      </c>
    </row>
    <row r="1517" spans="1:2" x14ac:dyDescent="0.25">
      <c r="A1517" s="4" t="s">
        <v>491</v>
      </c>
      <c r="B1517" s="255" t="s">
        <v>4830</v>
      </c>
    </row>
    <row r="1518" spans="1:2" x14ac:dyDescent="0.25">
      <c r="A1518" s="4" t="s">
        <v>265</v>
      </c>
      <c r="B1518" s="255" t="s">
        <v>4831</v>
      </c>
    </row>
    <row r="1519" spans="1:2" x14ac:dyDescent="0.25">
      <c r="A1519" s="4" t="s">
        <v>263</v>
      </c>
      <c r="B1519" s="255" t="s">
        <v>4832</v>
      </c>
    </row>
    <row r="1520" spans="1:2" x14ac:dyDescent="0.25">
      <c r="A1520" s="4" t="s">
        <v>729</v>
      </c>
      <c r="B1520" s="255" t="s">
        <v>4833</v>
      </c>
    </row>
    <row r="1521" spans="1:2" x14ac:dyDescent="0.25">
      <c r="A1521" s="4" t="s">
        <v>731</v>
      </c>
      <c r="B1521" s="255" t="s">
        <v>4834</v>
      </c>
    </row>
    <row r="1522" spans="1:2" x14ac:dyDescent="0.25">
      <c r="A1522" s="4" t="s">
        <v>738</v>
      </c>
      <c r="B1522" s="255" t="s">
        <v>4835</v>
      </c>
    </row>
    <row r="1523" spans="1:2" x14ac:dyDescent="0.25">
      <c r="A1523" s="4" t="s">
        <v>757</v>
      </c>
      <c r="B1523" s="255" t="s">
        <v>4836</v>
      </c>
    </row>
    <row r="1524" spans="1:2" x14ac:dyDescent="0.25">
      <c r="A1524" s="4" t="s">
        <v>733</v>
      </c>
      <c r="B1524" s="255" t="s">
        <v>4837</v>
      </c>
    </row>
    <row r="1525" spans="1:2" ht="24" x14ac:dyDescent="0.25">
      <c r="A1525" s="4" t="s">
        <v>4838</v>
      </c>
      <c r="B1525" s="255" t="s">
        <v>4839</v>
      </c>
    </row>
    <row r="1526" spans="1:2" x14ac:dyDescent="0.25">
      <c r="A1526" s="4" t="s">
        <v>783</v>
      </c>
      <c r="B1526" s="255" t="s">
        <v>4840</v>
      </c>
    </row>
    <row r="1527" spans="1:2" x14ac:dyDescent="0.25">
      <c r="A1527" s="4" t="s">
        <v>281</v>
      </c>
      <c r="B1527" s="255" t="s">
        <v>4841</v>
      </c>
    </row>
    <row r="1528" spans="1:2" x14ac:dyDescent="0.25">
      <c r="A1528" s="4" t="s">
        <v>430</v>
      </c>
      <c r="B1528" s="255" t="s">
        <v>4842</v>
      </c>
    </row>
    <row r="1529" spans="1:2" x14ac:dyDescent="0.25">
      <c r="A1529" s="4" t="s">
        <v>447</v>
      </c>
      <c r="B1529" s="255" t="s">
        <v>4843</v>
      </c>
    </row>
    <row r="1530" spans="1:2" x14ac:dyDescent="0.25">
      <c r="A1530" s="4" t="s">
        <v>454</v>
      </c>
      <c r="B1530" s="255" t="s">
        <v>4844</v>
      </c>
    </row>
    <row r="1531" spans="1:2" x14ac:dyDescent="0.25">
      <c r="A1531" s="4" t="s">
        <v>456</v>
      </c>
      <c r="B1531" s="255" t="s">
        <v>4845</v>
      </c>
    </row>
    <row r="1532" spans="1:2" x14ac:dyDescent="0.25">
      <c r="A1532" s="4" t="s">
        <v>462</v>
      </c>
      <c r="B1532" s="255" t="s">
        <v>4846</v>
      </c>
    </row>
    <row r="1533" spans="1:2" x14ac:dyDescent="0.25">
      <c r="A1533" s="4" t="s">
        <v>464</v>
      </c>
      <c r="B1533" s="255" t="s">
        <v>4847</v>
      </c>
    </row>
    <row r="1534" spans="1:2" ht="24" x14ac:dyDescent="0.25">
      <c r="A1534" s="4" t="s">
        <v>735</v>
      </c>
      <c r="B1534" s="255" t="s">
        <v>4848</v>
      </c>
    </row>
    <row r="1535" spans="1:2" x14ac:dyDescent="0.25">
      <c r="A1535" s="4" t="s">
        <v>888</v>
      </c>
      <c r="B1535" s="255" t="s">
        <v>4849</v>
      </c>
    </row>
    <row r="1536" spans="1:2" x14ac:dyDescent="0.25">
      <c r="A1536" s="4" t="s">
        <v>913</v>
      </c>
      <c r="B1536" s="255" t="s">
        <v>4850</v>
      </c>
    </row>
    <row r="1537" spans="1:2" x14ac:dyDescent="0.25">
      <c r="A1537" s="4" t="s">
        <v>915</v>
      </c>
      <c r="B1537" s="255" t="s">
        <v>4851</v>
      </c>
    </row>
    <row r="1538" spans="1:2" x14ac:dyDescent="0.25">
      <c r="A1538" s="4" t="s">
        <v>917</v>
      </c>
      <c r="B1538" s="255" t="s">
        <v>4852</v>
      </c>
    </row>
    <row r="1539" spans="1:2" x14ac:dyDescent="0.25">
      <c r="A1539" s="4" t="s">
        <v>932</v>
      </c>
      <c r="B1539" s="255" t="s">
        <v>4853</v>
      </c>
    </row>
    <row r="1540" spans="1:2" x14ac:dyDescent="0.25">
      <c r="A1540" s="4" t="s">
        <v>944</v>
      </c>
      <c r="B1540" s="255" t="s">
        <v>4854</v>
      </c>
    </row>
    <row r="1541" spans="1:2" x14ac:dyDescent="0.25">
      <c r="A1541" s="4" t="s">
        <v>947</v>
      </c>
      <c r="B1541" s="255" t="s">
        <v>4855</v>
      </c>
    </row>
    <row r="1542" spans="1:2" x14ac:dyDescent="0.25">
      <c r="A1542" s="4" t="s">
        <v>949</v>
      </c>
      <c r="B1542" s="255" t="s">
        <v>4856</v>
      </c>
    </row>
    <row r="1543" spans="1:2" x14ac:dyDescent="0.25">
      <c r="A1543" s="4" t="s">
        <v>1001</v>
      </c>
      <c r="B1543" s="255" t="s">
        <v>4857</v>
      </c>
    </row>
    <row r="1544" spans="1:2" ht="24" x14ac:dyDescent="0.25">
      <c r="A1544" s="4" t="s">
        <v>1040</v>
      </c>
      <c r="B1544" s="255" t="s">
        <v>4858</v>
      </c>
    </row>
    <row r="1545" spans="1:2" x14ac:dyDescent="0.25">
      <c r="A1545" s="4" t="s">
        <v>1045</v>
      </c>
      <c r="B1545" s="255" t="s">
        <v>4859</v>
      </c>
    </row>
    <row r="1546" spans="1:2" x14ac:dyDescent="0.25">
      <c r="A1546" s="4" t="s">
        <v>91</v>
      </c>
      <c r="B1546" s="255" t="s">
        <v>4860</v>
      </c>
    </row>
    <row r="1547" spans="1:2" x14ac:dyDescent="0.25">
      <c r="A1547" s="4" t="s">
        <v>100</v>
      </c>
      <c r="B1547" s="255" t="s">
        <v>4861</v>
      </c>
    </row>
    <row r="1548" spans="1:2" x14ac:dyDescent="0.25">
      <c r="A1548" s="4" t="s">
        <v>101</v>
      </c>
      <c r="B1548" s="255" t="s">
        <v>4862</v>
      </c>
    </row>
    <row r="1549" spans="1:2" x14ac:dyDescent="0.25">
      <c r="A1549" s="4" t="s">
        <v>154</v>
      </c>
      <c r="B1549" s="255" t="s">
        <v>4863</v>
      </c>
    </row>
    <row r="1550" spans="1:2" x14ac:dyDescent="0.25">
      <c r="A1550" s="4" t="s">
        <v>198</v>
      </c>
      <c r="B1550" s="255" t="s">
        <v>4864</v>
      </c>
    </row>
    <row r="1551" spans="1:2" x14ac:dyDescent="0.25">
      <c r="A1551" s="4" t="s">
        <v>215</v>
      </c>
      <c r="B1551" s="255" t="s">
        <v>4865</v>
      </c>
    </row>
    <row r="1552" spans="1:2" x14ac:dyDescent="0.25">
      <c r="A1552" s="4" t="s">
        <v>325</v>
      </c>
      <c r="B1552" s="255" t="s">
        <v>4866</v>
      </c>
    </row>
    <row r="1553" spans="1:2" x14ac:dyDescent="0.25">
      <c r="A1553" s="4" t="s">
        <v>294</v>
      </c>
      <c r="B1553" s="255" t="s">
        <v>4867</v>
      </c>
    </row>
    <row r="1554" spans="1:2" x14ac:dyDescent="0.25">
      <c r="A1554" s="4" t="s">
        <v>301</v>
      </c>
      <c r="B1554" s="255" t="s">
        <v>4868</v>
      </c>
    </row>
    <row r="1555" spans="1:2" x14ac:dyDescent="0.25">
      <c r="A1555" s="4" t="s">
        <v>200</v>
      </c>
      <c r="B1555" s="255" t="s">
        <v>4869</v>
      </c>
    </row>
    <row r="1556" spans="1:2" x14ac:dyDescent="0.25">
      <c r="A1556" s="4" t="s">
        <v>856</v>
      </c>
      <c r="B1556" s="255" t="s">
        <v>4015</v>
      </c>
    </row>
    <row r="1557" spans="1:2" x14ac:dyDescent="0.25">
      <c r="A1557" s="4" t="s">
        <v>315</v>
      </c>
      <c r="B1557" s="255" t="s">
        <v>4870</v>
      </c>
    </row>
    <row r="1558" spans="1:2" x14ac:dyDescent="0.25">
      <c r="A1558" s="4" t="s">
        <v>331</v>
      </c>
      <c r="B1558" s="255" t="s">
        <v>4871</v>
      </c>
    </row>
    <row r="1559" spans="1:2" x14ac:dyDescent="0.25">
      <c r="A1559" s="4" t="s">
        <v>347</v>
      </c>
      <c r="B1559" s="255" t="s">
        <v>4872</v>
      </c>
    </row>
    <row r="1560" spans="1:2" x14ac:dyDescent="0.25">
      <c r="A1560" s="4" t="s">
        <v>526</v>
      </c>
      <c r="B1560" s="255" t="s">
        <v>4873</v>
      </c>
    </row>
    <row r="1561" spans="1:2" ht="24" x14ac:dyDescent="0.25">
      <c r="A1561" s="4" t="s">
        <v>528</v>
      </c>
      <c r="B1561" s="255" t="s">
        <v>4874</v>
      </c>
    </row>
    <row r="1562" spans="1:2" x14ac:dyDescent="0.25">
      <c r="A1562" s="4" t="s">
        <v>601</v>
      </c>
      <c r="B1562" s="255" t="s">
        <v>4875</v>
      </c>
    </row>
    <row r="1563" spans="1:2" x14ac:dyDescent="0.25">
      <c r="A1563" s="4" t="s">
        <v>621</v>
      </c>
      <c r="B1563" s="255" t="s">
        <v>4876</v>
      </c>
    </row>
    <row r="1564" spans="1:2" x14ac:dyDescent="0.25">
      <c r="A1564" s="4" t="s">
        <v>624</v>
      </c>
      <c r="B1564" s="255" t="s">
        <v>4877</v>
      </c>
    </row>
    <row r="1565" spans="1:2" x14ac:dyDescent="0.25">
      <c r="A1565" s="4" t="s">
        <v>646</v>
      </c>
      <c r="B1565" s="255" t="s">
        <v>4878</v>
      </c>
    </row>
    <row r="1566" spans="1:2" x14ac:dyDescent="0.25">
      <c r="A1566" s="4" t="s">
        <v>685</v>
      </c>
      <c r="B1566" s="255" t="s">
        <v>4879</v>
      </c>
    </row>
    <row r="1567" spans="1:2" x14ac:dyDescent="0.25">
      <c r="A1567" s="4" t="s">
        <v>406</v>
      </c>
      <c r="B1567" s="255" t="s">
        <v>4880</v>
      </c>
    </row>
    <row r="1568" spans="1:2" x14ac:dyDescent="0.25">
      <c r="A1568" s="4" t="s">
        <v>1049</v>
      </c>
      <c r="B1568" s="255" t="s">
        <v>4881</v>
      </c>
    </row>
    <row r="1569" spans="1:2" x14ac:dyDescent="0.25">
      <c r="A1569" s="4" t="s">
        <v>800</v>
      </c>
      <c r="B1569" s="255" t="s">
        <v>4882</v>
      </c>
    </row>
    <row r="1570" spans="1:2" x14ac:dyDescent="0.25">
      <c r="A1570" s="4" t="s">
        <v>816</v>
      </c>
      <c r="B1570" s="255" t="s">
        <v>4883</v>
      </c>
    </row>
    <row r="1571" spans="1:2" x14ac:dyDescent="0.25">
      <c r="A1571" s="252" t="s">
        <v>1398</v>
      </c>
      <c r="B1571" s="253" t="s">
        <v>4884</v>
      </c>
    </row>
    <row r="1572" spans="1:2" x14ac:dyDescent="0.25">
      <c r="A1572" s="252" t="s">
        <v>1400</v>
      </c>
      <c r="B1572" s="253" t="s">
        <v>2380</v>
      </c>
    </row>
    <row r="1573" spans="1:2" x14ac:dyDescent="0.25">
      <c r="A1573" s="252" t="s">
        <v>4885</v>
      </c>
      <c r="B1573" s="253" t="s">
        <v>4886</v>
      </c>
    </row>
    <row r="1574" spans="1:2" x14ac:dyDescent="0.25">
      <c r="A1574" s="252" t="s">
        <v>4887</v>
      </c>
      <c r="B1574" s="253" t="s">
        <v>4888</v>
      </c>
    </row>
    <row r="1575" spans="1:2" x14ac:dyDescent="0.25">
      <c r="A1575" s="252" t="s">
        <v>4889</v>
      </c>
      <c r="B1575" s="253" t="s">
        <v>4890</v>
      </c>
    </row>
    <row r="1576" spans="1:2" x14ac:dyDescent="0.25">
      <c r="A1576" s="252" t="s">
        <v>4891</v>
      </c>
      <c r="B1576" s="253" t="s">
        <v>4892</v>
      </c>
    </row>
    <row r="1577" spans="1:2" x14ac:dyDescent="0.25">
      <c r="A1577" s="252" t="s">
        <v>4893</v>
      </c>
      <c r="B1577" s="253" t="s">
        <v>4894</v>
      </c>
    </row>
    <row r="1578" spans="1:2" x14ac:dyDescent="0.25">
      <c r="A1578" s="252" t="s">
        <v>4895</v>
      </c>
      <c r="B1578" s="253" t="s">
        <v>4896</v>
      </c>
    </row>
    <row r="1579" spans="1:2" x14ac:dyDescent="0.25">
      <c r="A1579" s="252" t="s">
        <v>4897</v>
      </c>
      <c r="B1579" s="253" t="s">
        <v>4898</v>
      </c>
    </row>
    <row r="1580" spans="1:2" x14ac:dyDescent="0.25">
      <c r="A1580" s="252" t="s">
        <v>4899</v>
      </c>
      <c r="B1580" s="253" t="s">
        <v>4900</v>
      </c>
    </row>
    <row r="1581" spans="1:2" x14ac:dyDescent="0.25">
      <c r="A1581" s="252" t="s">
        <v>4901</v>
      </c>
      <c r="B1581" s="253" t="s">
        <v>4902</v>
      </c>
    </row>
    <row r="1582" spans="1:2" x14ac:dyDescent="0.25">
      <c r="A1582" s="252" t="s">
        <v>4903</v>
      </c>
      <c r="B1582" s="253" t="s">
        <v>4904</v>
      </c>
    </row>
    <row r="1583" spans="1:2" x14ac:dyDescent="0.25">
      <c r="A1583" s="252" t="s">
        <v>4905</v>
      </c>
      <c r="B1583" s="253" t="s">
        <v>4906</v>
      </c>
    </row>
    <row r="1584" spans="1:2" x14ac:dyDescent="0.25">
      <c r="A1584" s="252" t="s">
        <v>4907</v>
      </c>
      <c r="B1584" s="253" t="s">
        <v>4908</v>
      </c>
    </row>
    <row r="1585" spans="1:2" x14ac:dyDescent="0.25">
      <c r="A1585" s="252" t="s">
        <v>4909</v>
      </c>
      <c r="B1585" s="253" t="s">
        <v>4910</v>
      </c>
    </row>
    <row r="1586" spans="1:2" x14ac:dyDescent="0.25">
      <c r="A1586" s="252" t="s">
        <v>4911</v>
      </c>
      <c r="B1586" s="253" t="s">
        <v>4912</v>
      </c>
    </row>
    <row r="1587" spans="1:2" x14ac:dyDescent="0.25">
      <c r="A1587" s="252" t="s">
        <v>4913</v>
      </c>
      <c r="B1587" s="253" t="s">
        <v>4914</v>
      </c>
    </row>
    <row r="1588" spans="1:2" x14ac:dyDescent="0.25">
      <c r="A1588" s="252" t="s">
        <v>4915</v>
      </c>
      <c r="B1588" s="253" t="s">
        <v>4916</v>
      </c>
    </row>
    <row r="1589" spans="1:2" x14ac:dyDescent="0.25">
      <c r="A1589" s="252" t="s">
        <v>4917</v>
      </c>
      <c r="B1589" s="253" t="s">
        <v>4918</v>
      </c>
    </row>
    <row r="1590" spans="1:2" x14ac:dyDescent="0.25">
      <c r="A1590" s="252" t="s">
        <v>4919</v>
      </c>
      <c r="B1590" s="253" t="s">
        <v>4920</v>
      </c>
    </row>
    <row r="1591" spans="1:2" x14ac:dyDescent="0.25">
      <c r="A1591" s="252" t="s">
        <v>4921</v>
      </c>
      <c r="B1591" s="253" t="s">
        <v>4922</v>
      </c>
    </row>
    <row r="1592" spans="1:2" x14ac:dyDescent="0.25">
      <c r="A1592" s="252" t="s">
        <v>4923</v>
      </c>
      <c r="B1592" s="253" t="s">
        <v>4924</v>
      </c>
    </row>
    <row r="1593" spans="1:2" x14ac:dyDescent="0.25">
      <c r="A1593" s="252" t="s">
        <v>4925</v>
      </c>
      <c r="B1593" s="253" t="s">
        <v>4667</v>
      </c>
    </row>
    <row r="1594" spans="1:2" x14ac:dyDescent="0.25">
      <c r="A1594" s="252" t="s">
        <v>4926</v>
      </c>
      <c r="B1594" s="253" t="s">
        <v>4669</v>
      </c>
    </row>
    <row r="1595" spans="1:2" x14ac:dyDescent="0.25">
      <c r="A1595" s="252" t="s">
        <v>4927</v>
      </c>
      <c r="B1595" s="253" t="s">
        <v>4671</v>
      </c>
    </row>
    <row r="1596" spans="1:2" x14ac:dyDescent="0.25">
      <c r="A1596" s="252" t="s">
        <v>4928</v>
      </c>
      <c r="B1596" s="253" t="s">
        <v>4929</v>
      </c>
    </row>
    <row r="1597" spans="1:2" x14ac:dyDescent="0.25">
      <c r="A1597" s="252" t="s">
        <v>4930</v>
      </c>
      <c r="B1597" s="253" t="s">
        <v>4931</v>
      </c>
    </row>
    <row r="1598" spans="1:2" x14ac:dyDescent="0.25">
      <c r="A1598" s="252" t="s">
        <v>4932</v>
      </c>
      <c r="B1598" s="253" t="s">
        <v>4933</v>
      </c>
    </row>
    <row r="1599" spans="1:2" x14ac:dyDescent="0.25">
      <c r="A1599" s="252" t="s">
        <v>4934</v>
      </c>
      <c r="B1599" s="253" t="s">
        <v>4673</v>
      </c>
    </row>
    <row r="1600" spans="1:2" x14ac:dyDescent="0.25">
      <c r="A1600" s="252" t="s">
        <v>4935</v>
      </c>
      <c r="B1600" s="253" t="s">
        <v>4936</v>
      </c>
    </row>
    <row r="1601" spans="1:2" x14ac:dyDescent="0.25">
      <c r="A1601" s="252" t="s">
        <v>1410</v>
      </c>
      <c r="B1601" s="253" t="s">
        <v>4936</v>
      </c>
    </row>
    <row r="1602" spans="1:2" x14ac:dyDescent="0.25">
      <c r="A1602" s="252" t="s">
        <v>1412</v>
      </c>
      <c r="B1602" s="253" t="s">
        <v>4937</v>
      </c>
    </row>
    <row r="1603" spans="1:2" x14ac:dyDescent="0.25">
      <c r="A1603" s="252" t="s">
        <v>1414</v>
      </c>
      <c r="B1603" s="253" t="s">
        <v>4938</v>
      </c>
    </row>
    <row r="1604" spans="1:2" x14ac:dyDescent="0.25">
      <c r="A1604" s="252" t="s">
        <v>1416</v>
      </c>
      <c r="B1604" s="253" t="s">
        <v>4939</v>
      </c>
    </row>
    <row r="1605" spans="1:2" x14ac:dyDescent="0.25">
      <c r="A1605" s="252" t="s">
        <v>4940</v>
      </c>
      <c r="B1605" s="253" t="s">
        <v>4941</v>
      </c>
    </row>
    <row r="1606" spans="1:2" x14ac:dyDescent="0.25">
      <c r="A1606" s="252" t="s">
        <v>4942</v>
      </c>
      <c r="B1606" s="253" t="s">
        <v>4943</v>
      </c>
    </row>
    <row r="1607" spans="1:2" x14ac:dyDescent="0.25">
      <c r="A1607" s="252" t="s">
        <v>4944</v>
      </c>
      <c r="B1607" s="253" t="s">
        <v>4945</v>
      </c>
    </row>
    <row r="1608" spans="1:2" x14ac:dyDescent="0.25">
      <c r="A1608" s="252" t="s">
        <v>4946</v>
      </c>
      <c r="B1608" s="253" t="s">
        <v>4947</v>
      </c>
    </row>
    <row r="1609" spans="1:2" x14ac:dyDescent="0.25">
      <c r="A1609" s="252" t="s">
        <v>4948</v>
      </c>
      <c r="B1609" s="253" t="s">
        <v>4949</v>
      </c>
    </row>
    <row r="1610" spans="1:2" x14ac:dyDescent="0.25">
      <c r="A1610" s="252" t="s">
        <v>4950</v>
      </c>
      <c r="B1610" s="253" t="s">
        <v>4951</v>
      </c>
    </row>
    <row r="1611" spans="1:2" x14ac:dyDescent="0.25">
      <c r="A1611" s="252" t="s">
        <v>1418</v>
      </c>
      <c r="B1611" s="253" t="s">
        <v>4952</v>
      </c>
    </row>
    <row r="1612" spans="1:2" x14ac:dyDescent="0.25">
      <c r="A1612" s="252" t="s">
        <v>1420</v>
      </c>
      <c r="B1612" s="253" t="s">
        <v>4953</v>
      </c>
    </row>
    <row r="1613" spans="1:2" x14ac:dyDescent="0.25">
      <c r="A1613" s="252" t="s">
        <v>1422</v>
      </c>
      <c r="B1613" s="253" t="s">
        <v>4954</v>
      </c>
    </row>
    <row r="1614" spans="1:2" x14ac:dyDescent="0.25">
      <c r="A1614" s="252" t="s">
        <v>1424</v>
      </c>
      <c r="B1614" s="253" t="s">
        <v>4955</v>
      </c>
    </row>
    <row r="1615" spans="1:2" x14ac:dyDescent="0.25">
      <c r="A1615" s="252" t="s">
        <v>1426</v>
      </c>
      <c r="B1615" s="253" t="s">
        <v>4956</v>
      </c>
    </row>
    <row r="1616" spans="1:2" x14ac:dyDescent="0.25">
      <c r="A1616" s="252" t="s">
        <v>1428</v>
      </c>
      <c r="B1616" s="253" t="s">
        <v>4957</v>
      </c>
    </row>
    <row r="1617" spans="1:2" x14ac:dyDescent="0.25">
      <c r="A1617" s="252" t="s">
        <v>1430</v>
      </c>
      <c r="B1617" s="253" t="s">
        <v>4958</v>
      </c>
    </row>
    <row r="1618" spans="1:2" x14ac:dyDescent="0.25">
      <c r="A1618" s="252" t="s">
        <v>1432</v>
      </c>
      <c r="B1618" s="253" t="s">
        <v>4959</v>
      </c>
    </row>
    <row r="1619" spans="1:2" x14ac:dyDescent="0.25">
      <c r="A1619" s="252" t="s">
        <v>1434</v>
      </c>
      <c r="B1619" s="253" t="s">
        <v>4960</v>
      </c>
    </row>
    <row r="1620" spans="1:2" x14ac:dyDescent="0.25">
      <c r="A1620" s="252" t="s">
        <v>1436</v>
      </c>
      <c r="B1620" s="253" t="s">
        <v>4961</v>
      </c>
    </row>
    <row r="1621" spans="1:2" x14ac:dyDescent="0.25">
      <c r="A1621" s="252" t="s">
        <v>4962</v>
      </c>
      <c r="B1621" s="253" t="s">
        <v>4963</v>
      </c>
    </row>
    <row r="1622" spans="1:2" x14ac:dyDescent="0.25">
      <c r="A1622" s="252" t="s">
        <v>337</v>
      </c>
      <c r="B1622" s="253" t="s">
        <v>4964</v>
      </c>
    </row>
    <row r="1623" spans="1:2" x14ac:dyDescent="0.25">
      <c r="A1623" s="252" t="s">
        <v>339</v>
      </c>
      <c r="B1623" s="253" t="s">
        <v>4965</v>
      </c>
    </row>
    <row r="1624" spans="1:2" x14ac:dyDescent="0.25">
      <c r="A1624" s="252" t="s">
        <v>4966</v>
      </c>
      <c r="B1624" s="253" t="s">
        <v>4967</v>
      </c>
    </row>
    <row r="1625" spans="1:2" x14ac:dyDescent="0.25">
      <c r="A1625" s="252" t="s">
        <v>319</v>
      </c>
      <c r="B1625" s="253" t="s">
        <v>4968</v>
      </c>
    </row>
    <row r="1626" spans="1:2" x14ac:dyDescent="0.25">
      <c r="A1626" s="252" t="s">
        <v>4969</v>
      </c>
      <c r="B1626" s="253" t="s">
        <v>4970</v>
      </c>
    </row>
    <row r="1627" spans="1:2" x14ac:dyDescent="0.25">
      <c r="A1627" s="252" t="s">
        <v>4971</v>
      </c>
      <c r="B1627" s="253" t="s">
        <v>4972</v>
      </c>
    </row>
    <row r="1628" spans="1:2" x14ac:dyDescent="0.25">
      <c r="A1628" s="252" t="s">
        <v>4973</v>
      </c>
      <c r="B1628" s="253" t="s">
        <v>3276</v>
      </c>
    </row>
    <row r="1629" spans="1:2" x14ac:dyDescent="0.25">
      <c r="A1629" s="252" t="s">
        <v>4974</v>
      </c>
      <c r="B1629" s="253" t="s">
        <v>4975</v>
      </c>
    </row>
    <row r="1630" spans="1:2" x14ac:dyDescent="0.25">
      <c r="A1630" s="252" t="s">
        <v>4976</v>
      </c>
      <c r="B1630" s="253" t="s">
        <v>4977</v>
      </c>
    </row>
    <row r="1631" spans="1:2" x14ac:dyDescent="0.25">
      <c r="A1631" s="252" t="s">
        <v>1438</v>
      </c>
      <c r="B1631" s="253" t="s">
        <v>4978</v>
      </c>
    </row>
    <row r="1632" spans="1:2" x14ac:dyDescent="0.25">
      <c r="A1632" s="252" t="s">
        <v>1440</v>
      </c>
      <c r="B1632" s="253" t="s">
        <v>4979</v>
      </c>
    </row>
    <row r="1633" spans="1:2" x14ac:dyDescent="0.25">
      <c r="A1633" s="252" t="s">
        <v>1442</v>
      </c>
      <c r="B1633" s="253" t="s">
        <v>4980</v>
      </c>
    </row>
    <row r="1634" spans="1:2" x14ac:dyDescent="0.25">
      <c r="A1634" s="252" t="s">
        <v>1444</v>
      </c>
      <c r="B1634" s="253" t="s">
        <v>4981</v>
      </c>
    </row>
    <row r="1635" spans="1:2" x14ac:dyDescent="0.25">
      <c r="A1635" s="252" t="s">
        <v>1446</v>
      </c>
      <c r="B1635" s="253" t="s">
        <v>4982</v>
      </c>
    </row>
    <row r="1636" spans="1:2" x14ac:dyDescent="0.25">
      <c r="A1636" s="252" t="s">
        <v>4983</v>
      </c>
      <c r="B1636" s="253" t="s">
        <v>4984</v>
      </c>
    </row>
    <row r="1637" spans="1:2" x14ac:dyDescent="0.25">
      <c r="A1637" s="252" t="s">
        <v>4985</v>
      </c>
      <c r="B1637" s="253" t="s">
        <v>4986</v>
      </c>
    </row>
    <row r="1638" spans="1:2" x14ac:dyDescent="0.25">
      <c r="A1638" s="252" t="s">
        <v>4987</v>
      </c>
      <c r="B1638" s="253" t="s">
        <v>4988</v>
      </c>
    </row>
    <row r="1639" spans="1:2" x14ac:dyDescent="0.25">
      <c r="A1639" s="252" t="s">
        <v>773</v>
      </c>
      <c r="B1639" s="253" t="s">
        <v>4989</v>
      </c>
    </row>
    <row r="1640" spans="1:2" x14ac:dyDescent="0.25">
      <c r="A1640" s="252" t="s">
        <v>4990</v>
      </c>
      <c r="B1640" s="253" t="s">
        <v>4991</v>
      </c>
    </row>
    <row r="1641" spans="1:2" x14ac:dyDescent="0.25">
      <c r="A1641" s="252" t="s">
        <v>4992</v>
      </c>
      <c r="B1641" s="253" t="s">
        <v>4993</v>
      </c>
    </row>
    <row r="1642" spans="1:2" x14ac:dyDescent="0.25">
      <c r="A1642" s="252" t="s">
        <v>458</v>
      </c>
      <c r="B1642" s="253" t="s">
        <v>4994</v>
      </c>
    </row>
    <row r="1643" spans="1:2" x14ac:dyDescent="0.25">
      <c r="A1643" s="252" t="s">
        <v>4995</v>
      </c>
      <c r="B1643" s="253" t="s">
        <v>4996</v>
      </c>
    </row>
    <row r="1644" spans="1:2" x14ac:dyDescent="0.25">
      <c r="A1644" s="252" t="s">
        <v>4997</v>
      </c>
      <c r="B1644" s="253" t="s">
        <v>4998</v>
      </c>
    </row>
    <row r="1645" spans="1:2" x14ac:dyDescent="0.25">
      <c r="A1645" s="252" t="s">
        <v>466</v>
      </c>
      <c r="B1645" s="253" t="s">
        <v>4999</v>
      </c>
    </row>
    <row r="1646" spans="1:2" x14ac:dyDescent="0.25">
      <c r="A1646" s="252" t="s">
        <v>5000</v>
      </c>
      <c r="B1646" s="253" t="s">
        <v>5001</v>
      </c>
    </row>
    <row r="1647" spans="1:2" x14ac:dyDescent="0.25">
      <c r="A1647" s="252" t="s">
        <v>725</v>
      </c>
      <c r="B1647" s="253" t="s">
        <v>5002</v>
      </c>
    </row>
    <row r="1648" spans="1:2" x14ac:dyDescent="0.25">
      <c r="A1648" s="252" t="s">
        <v>5003</v>
      </c>
      <c r="B1648" s="253" t="s">
        <v>4991</v>
      </c>
    </row>
    <row r="1649" spans="1:2" x14ac:dyDescent="0.25">
      <c r="A1649" s="252" t="s">
        <v>5004</v>
      </c>
      <c r="B1649" s="253" t="s">
        <v>4993</v>
      </c>
    </row>
    <row r="1650" spans="1:2" x14ac:dyDescent="0.25">
      <c r="A1650" s="252" t="s">
        <v>5005</v>
      </c>
      <c r="B1650" s="253" t="s">
        <v>5006</v>
      </c>
    </row>
    <row r="1651" spans="1:2" x14ac:dyDescent="0.25">
      <c r="A1651" s="252" t="s">
        <v>5007</v>
      </c>
      <c r="B1651" s="253" t="s">
        <v>5008</v>
      </c>
    </row>
    <row r="1652" spans="1:2" x14ac:dyDescent="0.25">
      <c r="A1652" s="252" t="s">
        <v>5009</v>
      </c>
      <c r="B1652" s="253" t="s">
        <v>5010</v>
      </c>
    </row>
    <row r="1653" spans="1:2" x14ac:dyDescent="0.25">
      <c r="A1653" s="252" t="s">
        <v>5011</v>
      </c>
      <c r="B1653" s="253" t="s">
        <v>5012</v>
      </c>
    </row>
    <row r="1654" spans="1:2" x14ac:dyDescent="0.25">
      <c r="A1654" s="252" t="s">
        <v>5013</v>
      </c>
      <c r="B1654" s="253" t="s">
        <v>5014</v>
      </c>
    </row>
    <row r="1655" spans="1:2" x14ac:dyDescent="0.25">
      <c r="A1655" s="252" t="s">
        <v>871</v>
      </c>
      <c r="B1655" s="253" t="s">
        <v>5015</v>
      </c>
    </row>
    <row r="1656" spans="1:2" x14ac:dyDescent="0.25">
      <c r="A1656" s="252" t="s">
        <v>875</v>
      </c>
      <c r="B1656" s="253" t="s">
        <v>5016</v>
      </c>
    </row>
    <row r="1657" spans="1:2" x14ac:dyDescent="0.25">
      <c r="A1657" s="252" t="s">
        <v>5017</v>
      </c>
      <c r="B1657" s="253" t="s">
        <v>5018</v>
      </c>
    </row>
    <row r="1658" spans="1:2" x14ac:dyDescent="0.25">
      <c r="A1658" s="252" t="s">
        <v>5019</v>
      </c>
      <c r="B1658" s="253" t="s">
        <v>5020</v>
      </c>
    </row>
    <row r="1659" spans="1:2" x14ac:dyDescent="0.25">
      <c r="A1659" s="252" t="s">
        <v>5021</v>
      </c>
      <c r="B1659" s="253" t="s">
        <v>4568</v>
      </c>
    </row>
    <row r="1660" spans="1:2" x14ac:dyDescent="0.25">
      <c r="A1660" s="252" t="s">
        <v>5022</v>
      </c>
      <c r="B1660" s="253" t="s">
        <v>5023</v>
      </c>
    </row>
    <row r="1661" spans="1:2" x14ac:dyDescent="0.25">
      <c r="A1661" s="252" t="s">
        <v>5024</v>
      </c>
      <c r="B1661" s="253" t="s">
        <v>5025</v>
      </c>
    </row>
    <row r="1662" spans="1:2" x14ac:dyDescent="0.25">
      <c r="A1662" s="252" t="s">
        <v>5026</v>
      </c>
      <c r="B1662" s="253" t="s">
        <v>5027</v>
      </c>
    </row>
    <row r="1663" spans="1:2" x14ac:dyDescent="0.25">
      <c r="A1663" s="252" t="s">
        <v>5028</v>
      </c>
      <c r="B1663" s="253" t="s">
        <v>3949</v>
      </c>
    </row>
    <row r="1664" spans="1:2" x14ac:dyDescent="0.25">
      <c r="A1664" s="252" t="s">
        <v>5029</v>
      </c>
      <c r="B1664" s="253" t="s">
        <v>5030</v>
      </c>
    </row>
    <row r="1665" spans="1:2" x14ac:dyDescent="0.25">
      <c r="A1665" s="252" t="s">
        <v>5031</v>
      </c>
      <c r="B1665" s="253" t="s">
        <v>3979</v>
      </c>
    </row>
    <row r="1666" spans="1:2" x14ac:dyDescent="0.25">
      <c r="A1666" s="252" t="s">
        <v>5032</v>
      </c>
      <c r="B1666" s="253" t="s">
        <v>3951</v>
      </c>
    </row>
    <row r="1667" spans="1:2" x14ac:dyDescent="0.25">
      <c r="A1667" s="252" t="s">
        <v>5033</v>
      </c>
      <c r="B1667" s="253" t="s">
        <v>3953</v>
      </c>
    </row>
    <row r="1668" spans="1:2" x14ac:dyDescent="0.25">
      <c r="A1668" s="252" t="s">
        <v>5034</v>
      </c>
      <c r="B1668" s="253" t="s">
        <v>3955</v>
      </c>
    </row>
    <row r="1669" spans="1:2" x14ac:dyDescent="0.25">
      <c r="A1669" s="252" t="s">
        <v>5035</v>
      </c>
      <c r="B1669" s="253" t="s">
        <v>3957</v>
      </c>
    </row>
    <row r="1670" spans="1:2" x14ac:dyDescent="0.25">
      <c r="A1670" s="252" t="s">
        <v>5036</v>
      </c>
      <c r="B1670" s="253" t="s">
        <v>3969</v>
      </c>
    </row>
    <row r="1671" spans="1:2" x14ac:dyDescent="0.25">
      <c r="A1671" s="252" t="s">
        <v>5037</v>
      </c>
      <c r="B1671" s="253" t="s">
        <v>5038</v>
      </c>
    </row>
    <row r="1672" spans="1:2" x14ac:dyDescent="0.25">
      <c r="A1672" s="252" t="s">
        <v>5039</v>
      </c>
      <c r="B1672" s="253" t="s">
        <v>3985</v>
      </c>
    </row>
    <row r="1673" spans="1:2" x14ac:dyDescent="0.25">
      <c r="A1673" s="252" t="s">
        <v>5040</v>
      </c>
      <c r="B1673" s="253" t="s">
        <v>3971</v>
      </c>
    </row>
    <row r="1674" spans="1:2" x14ac:dyDescent="0.25">
      <c r="A1674" s="252" t="s">
        <v>5041</v>
      </c>
      <c r="B1674" s="253" t="s">
        <v>3973</v>
      </c>
    </row>
    <row r="1675" spans="1:2" x14ac:dyDescent="0.25">
      <c r="A1675" s="252" t="s">
        <v>5042</v>
      </c>
      <c r="B1675" s="253" t="s">
        <v>3975</v>
      </c>
    </row>
    <row r="1676" spans="1:2" x14ac:dyDescent="0.25">
      <c r="A1676" s="252" t="s">
        <v>5043</v>
      </c>
      <c r="B1676" s="253" t="s">
        <v>3977</v>
      </c>
    </row>
    <row r="1677" spans="1:2" x14ac:dyDescent="0.25">
      <c r="A1677" s="252" t="s">
        <v>348</v>
      </c>
      <c r="B1677" s="253" t="s">
        <v>3959</v>
      </c>
    </row>
    <row r="1678" spans="1:2" x14ac:dyDescent="0.25">
      <c r="A1678" s="252" t="s">
        <v>5044</v>
      </c>
      <c r="B1678" s="253" t="s">
        <v>5045</v>
      </c>
    </row>
    <row r="1679" spans="1:2" x14ac:dyDescent="0.25">
      <c r="A1679" s="252" t="s">
        <v>5046</v>
      </c>
      <c r="B1679" s="253" t="s">
        <v>3983</v>
      </c>
    </row>
    <row r="1680" spans="1:2" x14ac:dyDescent="0.25">
      <c r="A1680" s="252" t="s">
        <v>5047</v>
      </c>
      <c r="B1680" s="253" t="s">
        <v>3961</v>
      </c>
    </row>
    <row r="1681" spans="1:2" x14ac:dyDescent="0.25">
      <c r="A1681" s="252" t="s">
        <v>5048</v>
      </c>
      <c r="B1681" s="253" t="s">
        <v>3963</v>
      </c>
    </row>
    <row r="1682" spans="1:2" x14ac:dyDescent="0.25">
      <c r="A1682" s="252" t="s">
        <v>5049</v>
      </c>
      <c r="B1682" s="253" t="s">
        <v>3965</v>
      </c>
    </row>
    <row r="1683" spans="1:2" x14ac:dyDescent="0.25">
      <c r="A1683" s="252" t="s">
        <v>5050</v>
      </c>
      <c r="B1683" s="253" t="s">
        <v>3967</v>
      </c>
    </row>
    <row r="1684" spans="1:2" x14ac:dyDescent="0.25">
      <c r="A1684" s="252" t="s">
        <v>5051</v>
      </c>
      <c r="B1684" s="253" t="s">
        <v>5052</v>
      </c>
    </row>
    <row r="1685" spans="1:2" x14ac:dyDescent="0.25">
      <c r="A1685" s="252" t="s">
        <v>5053</v>
      </c>
      <c r="B1685" s="253" t="s">
        <v>5054</v>
      </c>
    </row>
    <row r="1686" spans="1:2" x14ac:dyDescent="0.25">
      <c r="A1686" s="252" t="s">
        <v>5055</v>
      </c>
      <c r="B1686" s="253" t="s">
        <v>5056</v>
      </c>
    </row>
    <row r="1687" spans="1:2" x14ac:dyDescent="0.25">
      <c r="A1687" s="252" t="s">
        <v>5057</v>
      </c>
      <c r="B1687" s="253" t="s">
        <v>5058</v>
      </c>
    </row>
    <row r="1688" spans="1:2" x14ac:dyDescent="0.25">
      <c r="A1688" s="252" t="s">
        <v>5059</v>
      </c>
      <c r="B1688" s="253" t="s">
        <v>5060</v>
      </c>
    </row>
    <row r="1689" spans="1:2" x14ac:dyDescent="0.25">
      <c r="A1689" s="252" t="s">
        <v>5061</v>
      </c>
      <c r="B1689" s="253" t="s">
        <v>5062</v>
      </c>
    </row>
    <row r="1690" spans="1:2" x14ac:dyDescent="0.25">
      <c r="A1690" s="252" t="s">
        <v>5063</v>
      </c>
      <c r="B1690" s="253" t="s">
        <v>5064</v>
      </c>
    </row>
    <row r="1691" spans="1:2" x14ac:dyDescent="0.25">
      <c r="A1691" s="252" t="s">
        <v>5065</v>
      </c>
      <c r="B1691" s="253" t="s">
        <v>5066</v>
      </c>
    </row>
    <row r="1692" spans="1:2" x14ac:dyDescent="0.25">
      <c r="A1692" s="252" t="s">
        <v>5067</v>
      </c>
      <c r="B1692" s="253" t="s">
        <v>5068</v>
      </c>
    </row>
    <row r="1693" spans="1:2" x14ac:dyDescent="0.25">
      <c r="A1693" s="252" t="s">
        <v>5069</v>
      </c>
      <c r="B1693" s="253" t="s">
        <v>5070</v>
      </c>
    </row>
    <row r="1694" spans="1:2" x14ac:dyDescent="0.25">
      <c r="A1694" s="252" t="s">
        <v>5071</v>
      </c>
      <c r="B1694" s="253" t="s">
        <v>5072</v>
      </c>
    </row>
    <row r="1695" spans="1:2" x14ac:dyDescent="0.25">
      <c r="A1695" s="252" t="s">
        <v>5073</v>
      </c>
      <c r="B1695" s="253" t="s">
        <v>5074</v>
      </c>
    </row>
    <row r="1696" spans="1:2" x14ac:dyDescent="0.25">
      <c r="A1696" s="252" t="s">
        <v>5075</v>
      </c>
      <c r="B1696" s="253" t="s">
        <v>5076</v>
      </c>
    </row>
    <row r="1697" spans="1:2" x14ac:dyDescent="0.25">
      <c r="A1697" s="252" t="s">
        <v>5077</v>
      </c>
      <c r="B1697" s="253" t="s">
        <v>5078</v>
      </c>
    </row>
    <row r="1698" spans="1:2" x14ac:dyDescent="0.25">
      <c r="A1698" s="252" t="s">
        <v>5079</v>
      </c>
      <c r="B1698" s="253" t="s">
        <v>5080</v>
      </c>
    </row>
    <row r="1699" spans="1:2" x14ac:dyDescent="0.25">
      <c r="A1699" s="252" t="s">
        <v>5081</v>
      </c>
      <c r="B1699" s="253" t="s">
        <v>5082</v>
      </c>
    </row>
    <row r="1700" spans="1:2" x14ac:dyDescent="0.25">
      <c r="A1700" s="252" t="s">
        <v>5083</v>
      </c>
      <c r="B1700" s="253" t="s">
        <v>5084</v>
      </c>
    </row>
    <row r="1701" spans="1:2" x14ac:dyDescent="0.25">
      <c r="A1701" s="252" t="s">
        <v>5085</v>
      </c>
      <c r="B1701" s="253" t="s">
        <v>5086</v>
      </c>
    </row>
    <row r="1702" spans="1:2" x14ac:dyDescent="0.25">
      <c r="A1702" s="252" t="s">
        <v>5087</v>
      </c>
      <c r="B1702" s="253" t="s">
        <v>5088</v>
      </c>
    </row>
    <row r="1703" spans="1:2" x14ac:dyDescent="0.25">
      <c r="A1703" s="252" t="s">
        <v>5089</v>
      </c>
      <c r="B1703" s="253" t="s">
        <v>5090</v>
      </c>
    </row>
    <row r="1704" spans="1:2" x14ac:dyDescent="0.25">
      <c r="A1704" s="252" t="s">
        <v>5091</v>
      </c>
      <c r="B1704" s="253" t="s">
        <v>5092</v>
      </c>
    </row>
    <row r="1705" spans="1:2" x14ac:dyDescent="0.25">
      <c r="A1705" s="252" t="s">
        <v>5093</v>
      </c>
      <c r="B1705" s="253" t="s">
        <v>5094</v>
      </c>
    </row>
    <row r="1706" spans="1:2" x14ac:dyDescent="0.25">
      <c r="A1706" s="252" t="s">
        <v>5095</v>
      </c>
      <c r="B1706" s="253" t="s">
        <v>5096</v>
      </c>
    </row>
    <row r="1707" spans="1:2" x14ac:dyDescent="0.25">
      <c r="A1707" s="252" t="s">
        <v>5097</v>
      </c>
      <c r="B1707" s="253" t="s">
        <v>5098</v>
      </c>
    </row>
    <row r="1708" spans="1:2" x14ac:dyDescent="0.25">
      <c r="A1708" s="252" t="s">
        <v>5099</v>
      </c>
      <c r="B1708" s="253" t="s">
        <v>5100</v>
      </c>
    </row>
    <row r="1709" spans="1:2" x14ac:dyDescent="0.25">
      <c r="A1709" s="252" t="s">
        <v>5101</v>
      </c>
      <c r="B1709" s="253" t="s">
        <v>5102</v>
      </c>
    </row>
    <row r="1710" spans="1:2" x14ac:dyDescent="0.25">
      <c r="A1710" s="252" t="s">
        <v>5103</v>
      </c>
      <c r="B1710" s="253" t="s">
        <v>5104</v>
      </c>
    </row>
    <row r="1711" spans="1:2" x14ac:dyDescent="0.25">
      <c r="A1711" s="252" t="s">
        <v>5105</v>
      </c>
      <c r="B1711" s="253" t="s">
        <v>5106</v>
      </c>
    </row>
    <row r="1712" spans="1:2" x14ac:dyDescent="0.25">
      <c r="A1712" s="252" t="s">
        <v>5107</v>
      </c>
      <c r="B1712" s="253" t="s">
        <v>5108</v>
      </c>
    </row>
    <row r="1713" spans="1:2" x14ac:dyDescent="0.25">
      <c r="A1713" s="252" t="s">
        <v>5109</v>
      </c>
      <c r="B1713" s="253" t="s">
        <v>5110</v>
      </c>
    </row>
    <row r="1714" spans="1:2" x14ac:dyDescent="0.25">
      <c r="A1714" s="252" t="s">
        <v>5111</v>
      </c>
      <c r="B1714" s="253" t="s">
        <v>5112</v>
      </c>
    </row>
    <row r="1715" spans="1:2" x14ac:dyDescent="0.25">
      <c r="A1715" s="252" t="s">
        <v>5113</v>
      </c>
      <c r="B1715" s="253" t="s">
        <v>5114</v>
      </c>
    </row>
    <row r="1716" spans="1:2" x14ac:dyDescent="0.25">
      <c r="A1716" s="252" t="s">
        <v>308</v>
      </c>
      <c r="B1716" s="253" t="s">
        <v>5115</v>
      </c>
    </row>
    <row r="1717" spans="1:2" x14ac:dyDescent="0.25">
      <c r="A1717" s="252" t="s">
        <v>5116</v>
      </c>
      <c r="B1717" s="253" t="s">
        <v>5117</v>
      </c>
    </row>
    <row r="1718" spans="1:2" x14ac:dyDescent="0.25">
      <c r="A1718" s="252" t="s">
        <v>5118</v>
      </c>
      <c r="B1718" s="253" t="s">
        <v>5119</v>
      </c>
    </row>
    <row r="1719" spans="1:2" x14ac:dyDescent="0.25">
      <c r="A1719" s="252" t="s">
        <v>5120</v>
      </c>
      <c r="B1719" s="253" t="s">
        <v>5121</v>
      </c>
    </row>
    <row r="1720" spans="1:2" x14ac:dyDescent="0.25">
      <c r="A1720" s="252" t="s">
        <v>5122</v>
      </c>
      <c r="B1720" s="253" t="s">
        <v>5123</v>
      </c>
    </row>
    <row r="1721" spans="1:2" x14ac:dyDescent="0.25">
      <c r="A1721" s="252" t="s">
        <v>5124</v>
      </c>
      <c r="B1721" s="253" t="s">
        <v>5125</v>
      </c>
    </row>
    <row r="1722" spans="1:2" x14ac:dyDescent="0.25">
      <c r="A1722" s="252" t="s">
        <v>5126</v>
      </c>
      <c r="B1722" s="253" t="s">
        <v>5127</v>
      </c>
    </row>
    <row r="1723" spans="1:2" x14ac:dyDescent="0.25">
      <c r="A1723" s="252" t="s">
        <v>5128</v>
      </c>
      <c r="B1723" s="253" t="s">
        <v>5129</v>
      </c>
    </row>
    <row r="1724" spans="1:2" x14ac:dyDescent="0.25">
      <c r="A1724" s="252" t="s">
        <v>5130</v>
      </c>
      <c r="B1724" s="253" t="s">
        <v>5131</v>
      </c>
    </row>
    <row r="1725" spans="1:2" x14ac:dyDescent="0.25">
      <c r="A1725" s="252" t="s">
        <v>5132</v>
      </c>
      <c r="B1725" s="253" t="s">
        <v>5133</v>
      </c>
    </row>
    <row r="1726" spans="1:2" x14ac:dyDescent="0.25">
      <c r="A1726" s="252" t="s">
        <v>5134</v>
      </c>
      <c r="B1726" s="253" t="s">
        <v>5135</v>
      </c>
    </row>
    <row r="1727" spans="1:2" x14ac:dyDescent="0.25">
      <c r="A1727" s="252" t="s">
        <v>5136</v>
      </c>
      <c r="B1727" s="253" t="s">
        <v>5137</v>
      </c>
    </row>
    <row r="1728" spans="1:2" x14ac:dyDescent="0.25">
      <c r="A1728" s="252" t="s">
        <v>5138</v>
      </c>
      <c r="B1728" s="253" t="s">
        <v>5139</v>
      </c>
    </row>
    <row r="1729" spans="1:2" x14ac:dyDescent="0.25">
      <c r="A1729" s="252" t="s">
        <v>563</v>
      </c>
      <c r="B1729" s="253" t="s">
        <v>5140</v>
      </c>
    </row>
    <row r="1730" spans="1:2" x14ac:dyDescent="0.25">
      <c r="A1730" s="252" t="s">
        <v>5141</v>
      </c>
      <c r="B1730" s="253" t="s">
        <v>5142</v>
      </c>
    </row>
    <row r="1731" spans="1:2" x14ac:dyDescent="0.25">
      <c r="A1731" s="252" t="s">
        <v>5143</v>
      </c>
      <c r="B1731" s="253" t="s">
        <v>5144</v>
      </c>
    </row>
    <row r="1732" spans="1:2" x14ac:dyDescent="0.25">
      <c r="A1732" s="252" t="s">
        <v>5145</v>
      </c>
      <c r="B1732" s="253" t="s">
        <v>5146</v>
      </c>
    </row>
    <row r="1733" spans="1:2" x14ac:dyDescent="0.25">
      <c r="A1733" s="252" t="s">
        <v>5147</v>
      </c>
      <c r="B1733" s="253" t="s">
        <v>5148</v>
      </c>
    </row>
    <row r="1734" spans="1:2" x14ac:dyDescent="0.25">
      <c r="A1734" s="252" t="s">
        <v>5149</v>
      </c>
      <c r="B1734" s="253" t="s">
        <v>5150</v>
      </c>
    </row>
    <row r="1735" spans="1:2" x14ac:dyDescent="0.25">
      <c r="A1735" s="252" t="s">
        <v>5151</v>
      </c>
      <c r="B1735" s="253" t="s">
        <v>5152</v>
      </c>
    </row>
    <row r="1736" spans="1:2" x14ac:dyDescent="0.25">
      <c r="A1736" s="252" t="s">
        <v>5153</v>
      </c>
      <c r="B1736" s="253" t="s">
        <v>5154</v>
      </c>
    </row>
    <row r="1737" spans="1:2" x14ac:dyDescent="0.25">
      <c r="A1737" s="252" t="s">
        <v>5155</v>
      </c>
      <c r="B1737" s="253" t="s">
        <v>5156</v>
      </c>
    </row>
    <row r="1738" spans="1:2" x14ac:dyDescent="0.25">
      <c r="A1738" s="252" t="s">
        <v>5157</v>
      </c>
      <c r="B1738" s="253" t="s">
        <v>5158</v>
      </c>
    </row>
    <row r="1739" spans="1:2" x14ac:dyDescent="0.25">
      <c r="A1739" s="252" t="s">
        <v>5159</v>
      </c>
      <c r="B1739" s="253" t="s">
        <v>5160</v>
      </c>
    </row>
    <row r="1740" spans="1:2" x14ac:dyDescent="0.25">
      <c r="A1740" s="252" t="s">
        <v>5161</v>
      </c>
      <c r="B1740" s="253" t="s">
        <v>5162</v>
      </c>
    </row>
    <row r="1741" spans="1:2" x14ac:dyDescent="0.25">
      <c r="A1741" s="252" t="s">
        <v>5163</v>
      </c>
      <c r="B1741" s="253" t="s">
        <v>5164</v>
      </c>
    </row>
    <row r="1742" spans="1:2" x14ac:dyDescent="0.25">
      <c r="A1742" s="252" t="s">
        <v>1092</v>
      </c>
      <c r="B1742" s="253" t="s">
        <v>5165</v>
      </c>
    </row>
    <row r="1743" spans="1:2" x14ac:dyDescent="0.25">
      <c r="A1743" s="252" t="s">
        <v>5166</v>
      </c>
      <c r="B1743" s="253" t="s">
        <v>5167</v>
      </c>
    </row>
    <row r="1744" spans="1:2" x14ac:dyDescent="0.25">
      <c r="A1744" s="252" t="s">
        <v>5168</v>
      </c>
      <c r="B1744" s="253" t="s">
        <v>5169</v>
      </c>
    </row>
    <row r="1745" spans="1:2" x14ac:dyDescent="0.25">
      <c r="A1745" s="252" t="s">
        <v>5170</v>
      </c>
      <c r="B1745" s="253" t="s">
        <v>5171</v>
      </c>
    </row>
    <row r="1746" spans="1:2" x14ac:dyDescent="0.25">
      <c r="A1746" s="252" t="s">
        <v>5172</v>
      </c>
      <c r="B1746" s="253" t="s">
        <v>5173</v>
      </c>
    </row>
    <row r="1747" spans="1:2" x14ac:dyDescent="0.25">
      <c r="A1747" s="252" t="s">
        <v>5174</v>
      </c>
      <c r="B1747" s="253" t="s">
        <v>5175</v>
      </c>
    </row>
    <row r="1748" spans="1:2" x14ac:dyDescent="0.25">
      <c r="A1748" s="252" t="s">
        <v>5176</v>
      </c>
      <c r="B1748" s="253" t="s">
        <v>5177</v>
      </c>
    </row>
    <row r="1749" spans="1:2" x14ac:dyDescent="0.25">
      <c r="A1749" s="252" t="s">
        <v>5178</v>
      </c>
      <c r="B1749" s="253" t="s">
        <v>5179</v>
      </c>
    </row>
    <row r="1750" spans="1:2" x14ac:dyDescent="0.25">
      <c r="A1750" s="252" t="s">
        <v>124</v>
      </c>
      <c r="B1750" s="253" t="s">
        <v>5180</v>
      </c>
    </row>
    <row r="1751" spans="1:2" x14ac:dyDescent="0.25">
      <c r="A1751" s="252" t="s">
        <v>5181</v>
      </c>
      <c r="B1751" s="253" t="s">
        <v>5182</v>
      </c>
    </row>
    <row r="1752" spans="1:2" x14ac:dyDescent="0.25">
      <c r="A1752" s="252" t="s">
        <v>5183</v>
      </c>
      <c r="B1752" s="253" t="s">
        <v>5184</v>
      </c>
    </row>
    <row r="1753" spans="1:2" x14ac:dyDescent="0.25">
      <c r="A1753" s="252" t="s">
        <v>5185</v>
      </c>
      <c r="B1753" s="253" t="s">
        <v>5186</v>
      </c>
    </row>
    <row r="1754" spans="1:2" x14ac:dyDescent="0.25">
      <c r="A1754" s="252" t="s">
        <v>408</v>
      </c>
      <c r="B1754" s="253" t="s">
        <v>5187</v>
      </c>
    </row>
    <row r="1755" spans="1:2" x14ac:dyDescent="0.25">
      <c r="A1755" s="252" t="s">
        <v>5188</v>
      </c>
      <c r="B1755" s="253" t="s">
        <v>5189</v>
      </c>
    </row>
    <row r="1756" spans="1:2" x14ac:dyDescent="0.25">
      <c r="A1756" s="252" t="s">
        <v>5190</v>
      </c>
      <c r="B1756" s="253" t="s">
        <v>5191</v>
      </c>
    </row>
    <row r="1757" spans="1:2" x14ac:dyDescent="0.25">
      <c r="A1757" s="252" t="s">
        <v>5192</v>
      </c>
      <c r="B1757" s="253" t="s">
        <v>5193</v>
      </c>
    </row>
    <row r="1758" spans="1:2" x14ac:dyDescent="0.25">
      <c r="A1758" s="252" t="s">
        <v>5194</v>
      </c>
      <c r="B1758" s="253" t="s">
        <v>5195</v>
      </c>
    </row>
    <row r="1759" spans="1:2" x14ac:dyDescent="0.25">
      <c r="A1759" s="252" t="s">
        <v>5196</v>
      </c>
      <c r="B1759" s="253" t="s">
        <v>5197</v>
      </c>
    </row>
    <row r="1760" spans="1:2" x14ac:dyDescent="0.25">
      <c r="A1760" s="252" t="s">
        <v>5198</v>
      </c>
      <c r="B1760" s="253" t="s">
        <v>5199</v>
      </c>
    </row>
    <row r="1761" spans="1:2" x14ac:dyDescent="0.25">
      <c r="A1761" s="256" t="s">
        <v>5200</v>
      </c>
      <c r="B1761" s="253" t="s">
        <v>3789</v>
      </c>
    </row>
    <row r="1762" spans="1:2" x14ac:dyDescent="0.25">
      <c r="A1762" s="256" t="s">
        <v>5201</v>
      </c>
      <c r="B1762" s="255" t="s">
        <v>4186</v>
      </c>
    </row>
    <row r="1763" spans="1:2" x14ac:dyDescent="0.25">
      <c r="A1763" s="256" t="s">
        <v>5202</v>
      </c>
      <c r="B1763" s="255" t="s">
        <v>4590</v>
      </c>
    </row>
    <row r="1764" spans="1:2" x14ac:dyDescent="0.25">
      <c r="A1764" s="256" t="s">
        <v>5203</v>
      </c>
      <c r="B1764" s="253" t="s">
        <v>3981</v>
      </c>
    </row>
    <row r="1765" spans="1:2" x14ac:dyDescent="0.25">
      <c r="A1765" s="256" t="s">
        <v>5204</v>
      </c>
      <c r="B1765" s="253" t="s">
        <v>5205</v>
      </c>
    </row>
    <row r="1766" spans="1:2" x14ac:dyDescent="0.25">
      <c r="A1766" s="256" t="s">
        <v>5206</v>
      </c>
      <c r="B1766" s="253" t="s">
        <v>5207</v>
      </c>
    </row>
    <row r="1767" spans="1:2" x14ac:dyDescent="0.25">
      <c r="A1767" s="256" t="s">
        <v>5208</v>
      </c>
      <c r="B1767" s="253" t="s">
        <v>2898</v>
      </c>
    </row>
    <row r="1768" spans="1:2" x14ac:dyDescent="0.25">
      <c r="A1768" s="256" t="s">
        <v>5209</v>
      </c>
      <c r="B1768" s="253" t="s">
        <v>5210</v>
      </c>
    </row>
    <row r="1769" spans="1:2" x14ac:dyDescent="0.25">
      <c r="A1769" s="256" t="s">
        <v>5211</v>
      </c>
      <c r="B1769" s="253" t="s">
        <v>5212</v>
      </c>
    </row>
    <row r="1770" spans="1:2" x14ac:dyDescent="0.25">
      <c r="A1770" s="256" t="s">
        <v>5213</v>
      </c>
      <c r="B1770" s="253" t="s">
        <v>3781</v>
      </c>
    </row>
    <row r="1771" spans="1:2" x14ac:dyDescent="0.25">
      <c r="A1771" s="256" t="s">
        <v>5214</v>
      </c>
      <c r="B1771" s="253" t="s">
        <v>5215</v>
      </c>
    </row>
    <row r="1772" spans="1:2" x14ac:dyDescent="0.25">
      <c r="A1772" s="256" t="s">
        <v>5216</v>
      </c>
      <c r="B1772" s="253" t="s">
        <v>3135</v>
      </c>
    </row>
    <row r="1773" spans="1:2" x14ac:dyDescent="0.25">
      <c r="A1773" s="256" t="s">
        <v>5217</v>
      </c>
      <c r="B1773" s="253" t="s">
        <v>5218</v>
      </c>
    </row>
    <row r="1774" spans="1:2" x14ac:dyDescent="0.25">
      <c r="A1774" s="256" t="s">
        <v>5219</v>
      </c>
      <c r="B1774" s="253" t="s">
        <v>4677</v>
      </c>
    </row>
    <row r="1775" spans="1:2" x14ac:dyDescent="0.25">
      <c r="A1775" s="252" t="s">
        <v>5220</v>
      </c>
      <c r="B1775" s="253" t="s">
        <v>5221</v>
      </c>
    </row>
    <row r="1776" spans="1:2" x14ac:dyDescent="0.25">
      <c r="A1776" s="258" t="s">
        <v>5222</v>
      </c>
      <c r="B1776" s="255" t="s">
        <v>5223</v>
      </c>
    </row>
    <row r="1777" spans="1:2" x14ac:dyDescent="0.25">
      <c r="A1777" s="256" t="s">
        <v>5224</v>
      </c>
      <c r="B1777" s="255" t="s">
        <v>5225</v>
      </c>
    </row>
    <row r="1778" spans="1:2" x14ac:dyDescent="0.25">
      <c r="A1778" s="256" t="s">
        <v>5226</v>
      </c>
      <c r="B1778" s="255" t="s">
        <v>5227</v>
      </c>
    </row>
    <row r="1779" spans="1:2" x14ac:dyDescent="0.25">
      <c r="A1779" s="258" t="s">
        <v>5228</v>
      </c>
      <c r="B1779" s="255" t="s">
        <v>5229</v>
      </c>
    </row>
    <row r="1780" spans="1:2" x14ac:dyDescent="0.25">
      <c r="A1780" s="258" t="s">
        <v>909</v>
      </c>
      <c r="B1780" s="255" t="s">
        <v>5230</v>
      </c>
    </row>
    <row r="1781" spans="1:2" x14ac:dyDescent="0.25">
      <c r="A1781" s="258" t="s">
        <v>5231</v>
      </c>
      <c r="B1781" s="255" t="s">
        <v>5232</v>
      </c>
    </row>
    <row r="1782" spans="1:2" x14ac:dyDescent="0.25">
      <c r="A1782" s="256" t="s">
        <v>5233</v>
      </c>
      <c r="B1782" s="255" t="s">
        <v>5234</v>
      </c>
    </row>
    <row r="1783" spans="1:2" x14ac:dyDescent="0.25">
      <c r="A1783" s="258" t="s">
        <v>5235</v>
      </c>
      <c r="B1783" s="255" t="s">
        <v>5236</v>
      </c>
    </row>
    <row r="1784" spans="1:2" x14ac:dyDescent="0.25">
      <c r="A1784" s="258" t="s">
        <v>5237</v>
      </c>
      <c r="B1784" s="255" t="s">
        <v>5238</v>
      </c>
    </row>
    <row r="1785" spans="1:2" x14ac:dyDescent="0.25">
      <c r="A1785" s="258" t="s">
        <v>5239</v>
      </c>
      <c r="B1785" s="255" t="s">
        <v>5240</v>
      </c>
    </row>
    <row r="1786" spans="1:2" x14ac:dyDescent="0.25">
      <c r="A1786" s="258" t="s">
        <v>5241</v>
      </c>
      <c r="B1786" s="255" t="s">
        <v>5242</v>
      </c>
    </row>
    <row r="1787" spans="1:2" x14ac:dyDescent="0.25">
      <c r="A1787" s="258" t="s">
        <v>5243</v>
      </c>
      <c r="B1787" s="255" t="s">
        <v>5244</v>
      </c>
    </row>
    <row r="1788" spans="1:2" x14ac:dyDescent="0.25">
      <c r="A1788" s="258" t="s">
        <v>5245</v>
      </c>
      <c r="B1788" s="255" t="s">
        <v>5246</v>
      </c>
    </row>
    <row r="1789" spans="1:2" x14ac:dyDescent="0.25">
      <c r="A1789" s="258" t="s">
        <v>5247</v>
      </c>
      <c r="B1789" s="255" t="s">
        <v>4679</v>
      </c>
    </row>
    <row r="1790" spans="1:2" x14ac:dyDescent="0.25">
      <c r="A1790" s="256" t="s">
        <v>5248</v>
      </c>
      <c r="B1790" s="255" t="s">
        <v>4525</v>
      </c>
    </row>
    <row r="1791" spans="1:2" x14ac:dyDescent="0.25">
      <c r="A1791" s="258" t="s">
        <v>5249</v>
      </c>
      <c r="B1791" s="255" t="s">
        <v>5250</v>
      </c>
    </row>
    <row r="1792" spans="1:2" x14ac:dyDescent="0.25">
      <c r="A1792" s="258" t="s">
        <v>5251</v>
      </c>
      <c r="B1792" s="255" t="s">
        <v>5252</v>
      </c>
    </row>
    <row r="1793" spans="1:2" x14ac:dyDescent="0.25">
      <c r="A1793" s="258" t="s">
        <v>5253</v>
      </c>
      <c r="B1793" s="255" t="s">
        <v>5254</v>
      </c>
    </row>
    <row r="1794" spans="1:2" x14ac:dyDescent="0.25">
      <c r="A1794" s="258" t="s">
        <v>5255</v>
      </c>
      <c r="B1794" s="255" t="s">
        <v>5256</v>
      </c>
    </row>
    <row r="1795" spans="1:2" x14ac:dyDescent="0.25">
      <c r="A1795" s="258" t="s">
        <v>5257</v>
      </c>
      <c r="B1795" s="255" t="s">
        <v>5258</v>
      </c>
    </row>
    <row r="1796" spans="1:2" x14ac:dyDescent="0.25">
      <c r="A1796" s="258" t="s">
        <v>112</v>
      </c>
      <c r="B1796" s="255" t="s">
        <v>5259</v>
      </c>
    </row>
    <row r="1797" spans="1:2" x14ac:dyDescent="0.25">
      <c r="A1797" s="258" t="s">
        <v>116</v>
      </c>
      <c r="B1797" s="255" t="s">
        <v>5260</v>
      </c>
    </row>
    <row r="1798" spans="1:2" x14ac:dyDescent="0.25">
      <c r="A1798" s="258" t="s">
        <v>120</v>
      </c>
      <c r="B1798" s="255" t="s">
        <v>5261</v>
      </c>
    </row>
    <row r="1799" spans="1:2" x14ac:dyDescent="0.25">
      <c r="A1799" s="258" t="s">
        <v>893</v>
      </c>
      <c r="B1799" s="255" t="s">
        <v>5262</v>
      </c>
    </row>
    <row r="1800" spans="1:2" x14ac:dyDescent="0.25">
      <c r="A1800" s="258" t="s">
        <v>136</v>
      </c>
      <c r="B1800" s="255" t="s">
        <v>5263</v>
      </c>
    </row>
    <row r="1801" spans="1:2" x14ac:dyDescent="0.25">
      <c r="A1801" s="258" t="s">
        <v>138</v>
      </c>
      <c r="B1801" s="255" t="s">
        <v>5264</v>
      </c>
    </row>
    <row r="1802" spans="1:2" x14ac:dyDescent="0.25">
      <c r="A1802" s="258" t="s">
        <v>142</v>
      </c>
      <c r="B1802" s="255" t="s">
        <v>5265</v>
      </c>
    </row>
    <row r="1803" spans="1:2" x14ac:dyDescent="0.25">
      <c r="A1803" s="258" t="s">
        <v>861</v>
      </c>
      <c r="B1803" s="255" t="s">
        <v>5266</v>
      </c>
    </row>
    <row r="1804" spans="1:2" x14ac:dyDescent="0.25">
      <c r="A1804" s="258" t="s">
        <v>865</v>
      </c>
      <c r="B1804" s="255" t="s">
        <v>5267</v>
      </c>
    </row>
    <row r="1805" spans="1:2" x14ac:dyDescent="0.25">
      <c r="A1805" s="258" t="s">
        <v>5268</v>
      </c>
      <c r="B1805" s="255" t="s">
        <v>5269</v>
      </c>
    </row>
    <row r="1806" spans="1:2" x14ac:dyDescent="0.25">
      <c r="A1806" s="258" t="s">
        <v>5270</v>
      </c>
      <c r="B1806" s="255" t="s">
        <v>5271</v>
      </c>
    </row>
    <row r="1807" spans="1:2" x14ac:dyDescent="0.25">
      <c r="A1807" s="256" t="s">
        <v>5272</v>
      </c>
      <c r="B1807" s="255" t="s">
        <v>5273</v>
      </c>
    </row>
    <row r="1808" spans="1:2" x14ac:dyDescent="0.25">
      <c r="A1808" s="258" t="s">
        <v>5274</v>
      </c>
      <c r="B1808" s="255" t="s">
        <v>5275</v>
      </c>
    </row>
    <row r="1809" spans="1:2" x14ac:dyDescent="0.25">
      <c r="A1809" s="258" t="s">
        <v>5276</v>
      </c>
      <c r="B1809" s="255" t="s">
        <v>5277</v>
      </c>
    </row>
    <row r="1810" spans="1:2" x14ac:dyDescent="0.25">
      <c r="A1810" s="258" t="s">
        <v>5278</v>
      </c>
      <c r="B1810" s="255" t="s">
        <v>5279</v>
      </c>
    </row>
    <row r="1811" spans="1:2" x14ac:dyDescent="0.25">
      <c r="A1811" s="258" t="s">
        <v>5280</v>
      </c>
      <c r="B1811" s="255" t="s">
        <v>5281</v>
      </c>
    </row>
    <row r="1812" spans="1:2" x14ac:dyDescent="0.25">
      <c r="A1812" s="258" t="s">
        <v>5282</v>
      </c>
      <c r="B1812" s="255" t="s">
        <v>5283</v>
      </c>
    </row>
    <row r="1813" spans="1:2" x14ac:dyDescent="0.25">
      <c r="A1813" s="258" t="s">
        <v>5284</v>
      </c>
      <c r="B1813" s="255" t="s">
        <v>5285</v>
      </c>
    </row>
    <row r="1814" spans="1:2" x14ac:dyDescent="0.25">
      <c r="A1814" s="258" t="s">
        <v>5286</v>
      </c>
      <c r="B1814" s="255" t="s">
        <v>5287</v>
      </c>
    </row>
    <row r="1815" spans="1:2" x14ac:dyDescent="0.25">
      <c r="A1815" s="258" t="s">
        <v>5288</v>
      </c>
      <c r="B1815" s="255" t="s">
        <v>5289</v>
      </c>
    </row>
    <row r="1816" spans="1:2" x14ac:dyDescent="0.25">
      <c r="A1816" s="258" t="s">
        <v>5290</v>
      </c>
      <c r="B1816" s="255" t="s">
        <v>5291</v>
      </c>
    </row>
    <row r="1817" spans="1:2" x14ac:dyDescent="0.25">
      <c r="A1817" s="258" t="s">
        <v>5292</v>
      </c>
      <c r="B1817" s="255" t="s">
        <v>5293</v>
      </c>
    </row>
    <row r="1818" spans="1:2" x14ac:dyDescent="0.25">
      <c r="A1818" s="258" t="s">
        <v>5294</v>
      </c>
      <c r="B1818" s="255" t="s">
        <v>5295</v>
      </c>
    </row>
    <row r="1819" spans="1:2" x14ac:dyDescent="0.25">
      <c r="A1819" s="258" t="s">
        <v>5296</v>
      </c>
      <c r="B1819" s="255" t="s">
        <v>5297</v>
      </c>
    </row>
    <row r="1820" spans="1:2" x14ac:dyDescent="0.25">
      <c r="A1820" s="258" t="s">
        <v>5298</v>
      </c>
      <c r="B1820" s="255" t="s">
        <v>5299</v>
      </c>
    </row>
    <row r="1821" spans="1:2" x14ac:dyDescent="0.25">
      <c r="A1821" s="258" t="s">
        <v>5300</v>
      </c>
      <c r="B1821" s="255" t="s">
        <v>5301</v>
      </c>
    </row>
    <row r="1822" spans="1:2" x14ac:dyDescent="0.25">
      <c r="A1822" s="258" t="s">
        <v>5302</v>
      </c>
      <c r="B1822" s="255" t="s">
        <v>5303</v>
      </c>
    </row>
    <row r="1823" spans="1:2" x14ac:dyDescent="0.25">
      <c r="A1823" s="258" t="s">
        <v>5304</v>
      </c>
      <c r="B1823" s="255" t="s">
        <v>5305</v>
      </c>
    </row>
    <row r="1824" spans="1:2" x14ac:dyDescent="0.25">
      <c r="A1824" s="258" t="s">
        <v>5306</v>
      </c>
      <c r="B1824" s="255" t="s">
        <v>5307</v>
      </c>
    </row>
    <row r="1825" spans="1:2" x14ac:dyDescent="0.25">
      <c r="A1825" s="258" t="s">
        <v>5308</v>
      </c>
      <c r="B1825" s="255" t="s">
        <v>5309</v>
      </c>
    </row>
    <row r="1826" spans="1:2" x14ac:dyDescent="0.25">
      <c r="A1826" s="258" t="s">
        <v>5310</v>
      </c>
      <c r="B1826" s="255" t="s">
        <v>5311</v>
      </c>
    </row>
    <row r="1827" spans="1:2" x14ac:dyDescent="0.25">
      <c r="A1827" s="258" t="s">
        <v>5312</v>
      </c>
      <c r="B1827" s="255" t="s">
        <v>5313</v>
      </c>
    </row>
    <row r="1828" spans="1:2" x14ac:dyDescent="0.25">
      <c r="A1828" s="258" t="s">
        <v>5314</v>
      </c>
      <c r="B1828" s="255" t="s">
        <v>5315</v>
      </c>
    </row>
    <row r="1829" spans="1:2" x14ac:dyDescent="0.25">
      <c r="A1829" s="258" t="s">
        <v>5316</v>
      </c>
      <c r="B1829" s="255" t="s">
        <v>5317</v>
      </c>
    </row>
    <row r="1830" spans="1:2" x14ac:dyDescent="0.25">
      <c r="A1830" s="258" t="s">
        <v>5318</v>
      </c>
      <c r="B1830" s="253" t="s">
        <v>5319</v>
      </c>
    </row>
    <row r="1831" spans="1:2" x14ac:dyDescent="0.25">
      <c r="A1831" s="258" t="s">
        <v>5320</v>
      </c>
      <c r="B1831" s="253" t="s">
        <v>5321</v>
      </c>
    </row>
    <row r="1832" spans="1:2" x14ac:dyDescent="0.25">
      <c r="A1832" s="258" t="s">
        <v>5322</v>
      </c>
      <c r="B1832" s="253" t="s">
        <v>4649</v>
      </c>
    </row>
    <row r="1833" spans="1:2" x14ac:dyDescent="0.25">
      <c r="A1833" s="258" t="s">
        <v>5323</v>
      </c>
      <c r="B1833" s="253" t="s">
        <v>4651</v>
      </c>
    </row>
    <row r="1834" spans="1:2" x14ac:dyDescent="0.25">
      <c r="A1834" s="258" t="s">
        <v>5324</v>
      </c>
      <c r="B1834" s="253" t="s">
        <v>4681</v>
      </c>
    </row>
    <row r="1835" spans="1:2" x14ac:dyDescent="0.25">
      <c r="A1835" s="258" t="s">
        <v>5325</v>
      </c>
      <c r="B1835" s="253" t="s">
        <v>4683</v>
      </c>
    </row>
    <row r="1836" spans="1:2" x14ac:dyDescent="0.25">
      <c r="A1836" s="258" t="s">
        <v>5326</v>
      </c>
      <c r="B1836" s="255" t="s">
        <v>5327</v>
      </c>
    </row>
    <row r="1837" spans="1:2" x14ac:dyDescent="0.25">
      <c r="A1837" s="258" t="s">
        <v>5328</v>
      </c>
      <c r="B1837" s="255" t="s">
        <v>5329</v>
      </c>
    </row>
    <row r="1838" spans="1:2" x14ac:dyDescent="0.25">
      <c r="A1838" s="258" t="s">
        <v>5330</v>
      </c>
      <c r="B1838" s="255" t="s">
        <v>4170</v>
      </c>
    </row>
    <row r="1839" spans="1:2" x14ac:dyDescent="0.25">
      <c r="A1839" s="258" t="s">
        <v>5331</v>
      </c>
      <c r="B1839" s="255" t="s">
        <v>4562</v>
      </c>
    </row>
    <row r="1840" spans="1:2" x14ac:dyDescent="0.25">
      <c r="A1840" s="258" t="s">
        <v>5332</v>
      </c>
      <c r="B1840" s="255" t="s">
        <v>4206</v>
      </c>
    </row>
    <row r="1841" spans="1:2" x14ac:dyDescent="0.25">
      <c r="A1841" s="258" t="s">
        <v>5333</v>
      </c>
      <c r="B1841" s="255" t="s">
        <v>4208</v>
      </c>
    </row>
    <row r="1842" spans="1:2" x14ac:dyDescent="0.25">
      <c r="A1842" s="258" t="s">
        <v>5334</v>
      </c>
      <c r="B1842" s="255" t="s">
        <v>4210</v>
      </c>
    </row>
    <row r="1843" spans="1:2" x14ac:dyDescent="0.25">
      <c r="A1843" s="258" t="s">
        <v>5335</v>
      </c>
      <c r="B1843" s="255" t="s">
        <v>4232</v>
      </c>
    </row>
    <row r="1844" spans="1:2" x14ac:dyDescent="0.25">
      <c r="A1844" s="258" t="s">
        <v>5336</v>
      </c>
      <c r="B1844" s="255" t="s">
        <v>4204</v>
      </c>
    </row>
    <row r="1845" spans="1:2" x14ac:dyDescent="0.25">
      <c r="A1845" s="258" t="s">
        <v>5337</v>
      </c>
      <c r="B1845" s="255" t="s">
        <v>4218</v>
      </c>
    </row>
    <row r="1846" spans="1:2" x14ac:dyDescent="0.25">
      <c r="A1846" s="258" t="s">
        <v>5338</v>
      </c>
      <c r="B1846" s="255" t="s">
        <v>4506</v>
      </c>
    </row>
    <row r="1847" spans="1:2" x14ac:dyDescent="0.25">
      <c r="A1847" s="258" t="s">
        <v>5339</v>
      </c>
      <c r="B1847" s="255" t="s">
        <v>4688</v>
      </c>
    </row>
    <row r="1848" spans="1:2" x14ac:dyDescent="0.25">
      <c r="A1848" s="258" t="s">
        <v>5340</v>
      </c>
      <c r="B1848" s="255" t="s">
        <v>4690</v>
      </c>
    </row>
    <row r="1849" spans="1:2" x14ac:dyDescent="0.25">
      <c r="A1849" s="258" t="s">
        <v>5341</v>
      </c>
      <c r="B1849" s="255" t="s">
        <v>4692</v>
      </c>
    </row>
    <row r="1850" spans="1:2" x14ac:dyDescent="0.25">
      <c r="A1850" s="258" t="s">
        <v>5342</v>
      </c>
      <c r="B1850" s="255" t="s">
        <v>4222</v>
      </c>
    </row>
    <row r="1851" spans="1:2" x14ac:dyDescent="0.25">
      <c r="A1851" s="258" t="s">
        <v>5343</v>
      </c>
      <c r="B1851" s="255" t="s">
        <v>4144</v>
      </c>
    </row>
    <row r="1852" spans="1:2" x14ac:dyDescent="0.25">
      <c r="A1852" s="258" t="s">
        <v>5344</v>
      </c>
      <c r="B1852" s="255" t="s">
        <v>4286</v>
      </c>
    </row>
    <row r="1853" spans="1:2" x14ac:dyDescent="0.25">
      <c r="A1853" s="258" t="s">
        <v>5345</v>
      </c>
      <c r="B1853" s="255" t="s">
        <v>4288</v>
      </c>
    </row>
    <row r="1854" spans="1:2" x14ac:dyDescent="0.25">
      <c r="A1854" s="258" t="s">
        <v>5346</v>
      </c>
      <c r="B1854" s="255" t="s">
        <v>4282</v>
      </c>
    </row>
    <row r="1855" spans="1:2" x14ac:dyDescent="0.25">
      <c r="A1855" s="258" t="s">
        <v>5347</v>
      </c>
      <c r="B1855" s="255" t="s">
        <v>4566</v>
      </c>
    </row>
    <row r="1856" spans="1:2" x14ac:dyDescent="0.25">
      <c r="A1856" s="258" t="s">
        <v>5348</v>
      </c>
      <c r="B1856" s="255" t="s">
        <v>4338</v>
      </c>
    </row>
    <row r="1857" spans="1:2" x14ac:dyDescent="0.25">
      <c r="A1857" s="256" t="s">
        <v>5349</v>
      </c>
      <c r="B1857" s="255" t="s">
        <v>4661</v>
      </c>
    </row>
    <row r="1858" spans="1:2" x14ac:dyDescent="0.25">
      <c r="A1858" s="256" t="s">
        <v>5350</v>
      </c>
      <c r="B1858" s="255" t="s">
        <v>5351</v>
      </c>
    </row>
    <row r="1859" spans="1:2" x14ac:dyDescent="0.25">
      <c r="A1859" s="256" t="s">
        <v>5352</v>
      </c>
      <c r="B1859" s="255" t="s">
        <v>4570</v>
      </c>
    </row>
    <row r="1860" spans="1:2" x14ac:dyDescent="0.25">
      <c r="A1860" s="256" t="s">
        <v>5353</v>
      </c>
      <c r="B1860" s="255" t="s">
        <v>5354</v>
      </c>
    </row>
    <row r="1861" spans="1:2" x14ac:dyDescent="0.25">
      <c r="A1861" s="256" t="s">
        <v>5355</v>
      </c>
      <c r="B1861" s="255" t="s">
        <v>4700</v>
      </c>
    </row>
    <row r="1862" spans="1:2" x14ac:dyDescent="0.25">
      <c r="A1862" s="256" t="s">
        <v>5356</v>
      </c>
      <c r="B1862" s="255" t="s">
        <v>4702</v>
      </c>
    </row>
    <row r="1863" spans="1:2" x14ac:dyDescent="0.25">
      <c r="A1863" s="256" t="s">
        <v>5357</v>
      </c>
      <c r="B1863" s="255" t="s">
        <v>5358</v>
      </c>
    </row>
    <row r="1864" spans="1:2" x14ac:dyDescent="0.25">
      <c r="A1864" s="256" t="s">
        <v>852</v>
      </c>
      <c r="B1864" s="255" t="s">
        <v>4015</v>
      </c>
    </row>
    <row r="1865" spans="1:2" x14ac:dyDescent="0.25">
      <c r="A1865" s="256" t="s">
        <v>5359</v>
      </c>
      <c r="B1865" s="255" t="s">
        <v>4704</v>
      </c>
    </row>
    <row r="1866" spans="1:2" x14ac:dyDescent="0.25">
      <c r="A1866" s="256" t="s">
        <v>5360</v>
      </c>
      <c r="B1866" s="253" t="s">
        <v>4706</v>
      </c>
    </row>
    <row r="1867" spans="1:2" x14ac:dyDescent="0.25">
      <c r="A1867" s="256" t="s">
        <v>5361</v>
      </c>
      <c r="B1867" s="253" t="s">
        <v>5362</v>
      </c>
    </row>
    <row r="1868" spans="1:2" x14ac:dyDescent="0.25">
      <c r="A1868" s="256" t="s">
        <v>5363</v>
      </c>
      <c r="B1868" s="253" t="s">
        <v>5364</v>
      </c>
    </row>
    <row r="1869" spans="1:2" x14ac:dyDescent="0.25">
      <c r="A1869" s="256" t="s">
        <v>5365</v>
      </c>
      <c r="B1869" s="253" t="s">
        <v>5366</v>
      </c>
    </row>
    <row r="1870" spans="1:2" x14ac:dyDescent="0.25">
      <c r="A1870" s="256" t="s">
        <v>5367</v>
      </c>
      <c r="B1870" s="253" t="s">
        <v>5368</v>
      </c>
    </row>
    <row r="1871" spans="1:2" x14ac:dyDescent="0.25">
      <c r="A1871" s="256" t="s">
        <v>5369</v>
      </c>
      <c r="B1871" s="253" t="s">
        <v>5370</v>
      </c>
    </row>
    <row r="1872" spans="1:2" x14ac:dyDescent="0.25">
      <c r="A1872" s="256" t="s">
        <v>5371</v>
      </c>
      <c r="B1872" s="253" t="s">
        <v>5372</v>
      </c>
    </row>
    <row r="1873" spans="1:2" x14ac:dyDescent="0.25">
      <c r="A1873" s="256" t="s">
        <v>5373</v>
      </c>
      <c r="B1873" s="253" t="s">
        <v>5374</v>
      </c>
    </row>
    <row r="1874" spans="1:2" x14ac:dyDescent="0.25">
      <c r="A1874" s="256" t="s">
        <v>5375</v>
      </c>
      <c r="B1874" s="253" t="s">
        <v>5376</v>
      </c>
    </row>
    <row r="1875" spans="1:2" x14ac:dyDescent="0.25">
      <c r="A1875" s="256" t="s">
        <v>5377</v>
      </c>
      <c r="B1875" s="253" t="s">
        <v>5378</v>
      </c>
    </row>
    <row r="1876" spans="1:2" x14ac:dyDescent="0.25">
      <c r="A1876" s="256" t="s">
        <v>5379</v>
      </c>
      <c r="B1876" s="253" t="s">
        <v>4512</v>
      </c>
    </row>
    <row r="1877" spans="1:2" x14ac:dyDescent="0.25">
      <c r="A1877" s="256" t="s">
        <v>5380</v>
      </c>
      <c r="B1877" s="253" t="s">
        <v>4516</v>
      </c>
    </row>
    <row r="1878" spans="1:2" x14ac:dyDescent="0.25">
      <c r="A1878" s="256" t="s">
        <v>904</v>
      </c>
      <c r="B1878" s="253" t="s">
        <v>4514</v>
      </c>
    </row>
    <row r="1879" spans="1:2" x14ac:dyDescent="0.25">
      <c r="A1879" s="256" t="s">
        <v>5381</v>
      </c>
      <c r="B1879" s="253" t="s">
        <v>5382</v>
      </c>
    </row>
    <row r="1880" spans="1:2" x14ac:dyDescent="0.25">
      <c r="A1880" s="256" t="s">
        <v>5383</v>
      </c>
      <c r="B1880" s="253" t="s">
        <v>5384</v>
      </c>
    </row>
    <row r="1881" spans="1:2" x14ac:dyDescent="0.25">
      <c r="A1881" s="256" t="s">
        <v>160</v>
      </c>
      <c r="B1881" s="253" t="s">
        <v>2293</v>
      </c>
    </row>
    <row r="1882" spans="1:2" x14ac:dyDescent="0.25">
      <c r="A1882" s="256" t="s">
        <v>5385</v>
      </c>
      <c r="B1882" s="253" t="s">
        <v>5386</v>
      </c>
    </row>
    <row r="1883" spans="1:2" x14ac:dyDescent="0.25">
      <c r="A1883" s="256" t="s">
        <v>5387</v>
      </c>
      <c r="B1883" s="253" t="s">
        <v>3391</v>
      </c>
    </row>
    <row r="1884" spans="1:2" x14ac:dyDescent="0.25">
      <c r="A1884" s="256" t="s">
        <v>5388</v>
      </c>
      <c r="B1884" s="253" t="s">
        <v>5389</v>
      </c>
    </row>
    <row r="1885" spans="1:2" x14ac:dyDescent="0.25">
      <c r="A1885" s="256" t="s">
        <v>5390</v>
      </c>
      <c r="B1885" s="253" t="s">
        <v>5391</v>
      </c>
    </row>
    <row r="1886" spans="1:2" x14ac:dyDescent="0.25">
      <c r="A1886" s="256" t="s">
        <v>5392</v>
      </c>
      <c r="B1886" s="253" t="s">
        <v>5393</v>
      </c>
    </row>
    <row r="1887" spans="1:2" x14ac:dyDescent="0.25">
      <c r="A1887" s="256" t="s">
        <v>5394</v>
      </c>
      <c r="B1887" s="253" t="s">
        <v>5395</v>
      </c>
    </row>
    <row r="1888" spans="1:2" x14ac:dyDescent="0.25">
      <c r="A1888" s="256" t="s">
        <v>5396</v>
      </c>
      <c r="B1888" s="253" t="s">
        <v>5397</v>
      </c>
    </row>
    <row r="1889" spans="1:2" x14ac:dyDescent="0.25">
      <c r="A1889" s="256" t="s">
        <v>5398</v>
      </c>
      <c r="B1889" s="253" t="s">
        <v>5399</v>
      </c>
    </row>
    <row r="1890" spans="1:2" x14ac:dyDescent="0.25">
      <c r="A1890" s="256" t="s">
        <v>5400</v>
      </c>
      <c r="B1890" s="253" t="s">
        <v>3400</v>
      </c>
    </row>
    <row r="1891" spans="1:2" x14ac:dyDescent="0.25">
      <c r="A1891" s="256" t="s">
        <v>5401</v>
      </c>
      <c r="B1891" s="253" t="s">
        <v>5402</v>
      </c>
    </row>
    <row r="1892" spans="1:2" x14ac:dyDescent="0.25">
      <c r="A1892" s="256" t="s">
        <v>5403</v>
      </c>
      <c r="B1892" s="253" t="s">
        <v>5404</v>
      </c>
    </row>
    <row r="1893" spans="1:2" x14ac:dyDescent="0.25">
      <c r="A1893" s="256" t="s">
        <v>5405</v>
      </c>
      <c r="B1893" s="253" t="s">
        <v>5406</v>
      </c>
    </row>
    <row r="1894" spans="1:2" x14ac:dyDescent="0.25">
      <c r="A1894" s="256" t="s">
        <v>5407</v>
      </c>
      <c r="B1894" s="253" t="s">
        <v>5408</v>
      </c>
    </row>
    <row r="1895" spans="1:2" x14ac:dyDescent="0.25">
      <c r="A1895" s="256" t="s">
        <v>5409</v>
      </c>
      <c r="B1895" s="253" t="s">
        <v>5410</v>
      </c>
    </row>
    <row r="1896" spans="1:2" x14ac:dyDescent="0.25">
      <c r="A1896" s="256" t="s">
        <v>5411</v>
      </c>
      <c r="B1896" s="253" t="s">
        <v>5412</v>
      </c>
    </row>
    <row r="1897" spans="1:2" x14ac:dyDescent="0.25">
      <c r="A1897" s="256" t="s">
        <v>5413</v>
      </c>
      <c r="B1897" s="253" t="s">
        <v>5414</v>
      </c>
    </row>
    <row r="1898" spans="1:2" x14ac:dyDescent="0.25">
      <c r="A1898" s="256" t="s">
        <v>5415</v>
      </c>
      <c r="B1898" s="253" t="s">
        <v>5416</v>
      </c>
    </row>
    <row r="1899" spans="1:2" x14ac:dyDescent="0.25">
      <c r="A1899" s="256" t="s">
        <v>5417</v>
      </c>
      <c r="B1899" s="253" t="s">
        <v>5418</v>
      </c>
    </row>
    <row r="1900" spans="1:2" x14ac:dyDescent="0.25">
      <c r="A1900" s="256" t="s">
        <v>5419</v>
      </c>
      <c r="B1900" s="253" t="s">
        <v>5420</v>
      </c>
    </row>
    <row r="1901" spans="1:2" x14ac:dyDescent="0.25">
      <c r="A1901" s="256" t="s">
        <v>5421</v>
      </c>
      <c r="B1901" s="253" t="s">
        <v>5422</v>
      </c>
    </row>
    <row r="1902" spans="1:2" x14ac:dyDescent="0.25">
      <c r="A1902" s="256" t="s">
        <v>5423</v>
      </c>
      <c r="B1902" s="253" t="s">
        <v>5424</v>
      </c>
    </row>
    <row r="1903" spans="1:2" x14ac:dyDescent="0.25">
      <c r="A1903" s="256" t="s">
        <v>5425</v>
      </c>
      <c r="B1903" s="253" t="s">
        <v>5426</v>
      </c>
    </row>
    <row r="1904" spans="1:2" x14ac:dyDescent="0.25">
      <c r="A1904" s="256" t="s">
        <v>5427</v>
      </c>
      <c r="B1904" s="253" t="s">
        <v>5428</v>
      </c>
    </row>
    <row r="1905" spans="1:2" x14ac:dyDescent="0.25">
      <c r="A1905" s="256" t="s">
        <v>5429</v>
      </c>
      <c r="B1905" s="253" t="s">
        <v>5430</v>
      </c>
    </row>
    <row r="1906" spans="1:2" x14ac:dyDescent="0.25">
      <c r="A1906" s="256" t="s">
        <v>5431</v>
      </c>
      <c r="B1906" s="253" t="s">
        <v>5432</v>
      </c>
    </row>
    <row r="1907" spans="1:2" x14ac:dyDescent="0.25">
      <c r="A1907" s="256" t="s">
        <v>5433</v>
      </c>
      <c r="B1907" s="253" t="s">
        <v>5434</v>
      </c>
    </row>
    <row r="1908" spans="1:2" x14ac:dyDescent="0.25">
      <c r="A1908" s="256" t="s">
        <v>5435</v>
      </c>
      <c r="B1908" s="253" t="s">
        <v>5436</v>
      </c>
    </row>
    <row r="1909" spans="1:2" x14ac:dyDescent="0.25">
      <c r="A1909" s="256" t="s">
        <v>5437</v>
      </c>
      <c r="B1909" s="255" t="s">
        <v>4598</v>
      </c>
    </row>
    <row r="1910" spans="1:2" x14ac:dyDescent="0.25">
      <c r="A1910" s="178" t="s">
        <v>5438</v>
      </c>
      <c r="B1910" s="27" t="s">
        <v>5439</v>
      </c>
    </row>
    <row r="1911" spans="1:2" x14ac:dyDescent="0.25">
      <c r="A1911" s="178" t="s">
        <v>5440</v>
      </c>
      <c r="B1911" s="27" t="s">
        <v>4530</v>
      </c>
    </row>
    <row r="1912" spans="1:2" x14ac:dyDescent="0.25">
      <c r="A1912" s="178" t="s">
        <v>165</v>
      </c>
      <c r="B1912" s="27" t="s">
        <v>5441</v>
      </c>
    </row>
    <row r="1913" spans="1:2" x14ac:dyDescent="0.25">
      <c r="A1913" s="178" t="s">
        <v>1194</v>
      </c>
      <c r="B1913" s="255" t="s">
        <v>5442</v>
      </c>
    </row>
    <row r="1914" spans="1:2" x14ac:dyDescent="0.25">
      <c r="A1914" s="178" t="s">
        <v>184</v>
      </c>
      <c r="B1914" s="27" t="s">
        <v>5443</v>
      </c>
    </row>
    <row r="1915" spans="1:2" x14ac:dyDescent="0.25">
      <c r="A1915" s="178" t="s">
        <v>188</v>
      </c>
      <c r="B1915" s="27" t="s">
        <v>5444</v>
      </c>
    </row>
    <row r="1916" spans="1:2" x14ac:dyDescent="0.25">
      <c r="A1916" s="178" t="s">
        <v>296</v>
      </c>
      <c r="B1916" s="27" t="s">
        <v>5445</v>
      </c>
    </row>
    <row r="1917" spans="1:2" x14ac:dyDescent="0.25">
      <c r="A1917" s="178" t="s">
        <v>298</v>
      </c>
      <c r="B1917" s="27" t="s">
        <v>5446</v>
      </c>
    </row>
    <row r="1918" spans="1:2" x14ac:dyDescent="0.25">
      <c r="A1918" s="178" t="s">
        <v>323</v>
      </c>
      <c r="B1918" s="27" t="s">
        <v>5447</v>
      </c>
    </row>
    <row r="1919" spans="1:2" x14ac:dyDescent="0.25">
      <c r="A1919" s="178" t="s">
        <v>1119</v>
      </c>
      <c r="B1919" s="27" t="s">
        <v>5448</v>
      </c>
    </row>
    <row r="1920" spans="1:2" x14ac:dyDescent="0.25">
      <c r="A1920" s="178" t="s">
        <v>357</v>
      </c>
      <c r="B1920" s="27" t="s">
        <v>5449</v>
      </c>
    </row>
    <row r="1921" spans="1:2" x14ac:dyDescent="0.25">
      <c r="A1921" s="178" t="s">
        <v>360</v>
      </c>
      <c r="B1921" s="27" t="s">
        <v>5450</v>
      </c>
    </row>
    <row r="1922" spans="1:2" x14ac:dyDescent="0.25">
      <c r="A1922" s="178" t="s">
        <v>374</v>
      </c>
      <c r="B1922" s="27" t="s">
        <v>5451</v>
      </c>
    </row>
    <row r="1923" spans="1:2" x14ac:dyDescent="0.25">
      <c r="A1923" s="178" t="s">
        <v>376</v>
      </c>
      <c r="B1923" s="27" t="s">
        <v>5452</v>
      </c>
    </row>
    <row r="1924" spans="1:2" x14ac:dyDescent="0.25">
      <c r="A1924" s="178" t="s">
        <v>386</v>
      </c>
      <c r="B1924" s="27" t="s">
        <v>5453</v>
      </c>
    </row>
    <row r="1925" spans="1:2" x14ac:dyDescent="0.25">
      <c r="A1925" s="178" t="s">
        <v>249</v>
      </c>
      <c r="B1925" s="27" t="s">
        <v>5454</v>
      </c>
    </row>
    <row r="1926" spans="1:2" x14ac:dyDescent="0.25">
      <c r="A1926" s="178" t="s">
        <v>417</v>
      </c>
      <c r="B1926" s="27" t="s">
        <v>5455</v>
      </c>
    </row>
    <row r="1927" spans="1:2" x14ac:dyDescent="0.25">
      <c r="A1927" s="178" t="s">
        <v>449</v>
      </c>
      <c r="B1927" s="27" t="s">
        <v>5456</v>
      </c>
    </row>
    <row r="1928" spans="1:2" x14ac:dyDescent="0.25">
      <c r="A1928" s="178" t="s">
        <v>496</v>
      </c>
      <c r="B1928" s="27" t="s">
        <v>5457</v>
      </c>
    </row>
    <row r="1929" spans="1:2" x14ac:dyDescent="0.25">
      <c r="A1929" s="178" t="s">
        <v>498</v>
      </c>
      <c r="B1929" s="27" t="s">
        <v>5458</v>
      </c>
    </row>
    <row r="1930" spans="1:2" ht="24" x14ac:dyDescent="0.25">
      <c r="A1930" s="178" t="s">
        <v>429</v>
      </c>
      <c r="B1930" s="27" t="s">
        <v>5459</v>
      </c>
    </row>
    <row r="1931" spans="1:2" x14ac:dyDescent="0.25">
      <c r="A1931" s="178" t="s">
        <v>1150</v>
      </c>
      <c r="B1931" s="27" t="s">
        <v>5460</v>
      </c>
    </row>
    <row r="1932" spans="1:2" x14ac:dyDescent="0.25">
      <c r="A1932" s="178" t="s">
        <v>620</v>
      </c>
      <c r="B1932" s="27" t="s">
        <v>5461</v>
      </c>
    </row>
    <row r="1933" spans="1:2" x14ac:dyDescent="0.25">
      <c r="A1933" s="178" t="s">
        <v>5462</v>
      </c>
      <c r="B1933" s="27" t="s">
        <v>5463</v>
      </c>
    </row>
    <row r="1934" spans="1:2" x14ac:dyDescent="0.25">
      <c r="A1934" s="178" t="s">
        <v>568</v>
      </c>
      <c r="B1934" s="27" t="s">
        <v>5464</v>
      </c>
    </row>
    <row r="1935" spans="1:2" x14ac:dyDescent="0.25">
      <c r="A1935" s="178" t="s">
        <v>571</v>
      </c>
      <c r="B1935" s="27" t="s">
        <v>5465</v>
      </c>
    </row>
    <row r="1936" spans="1:2" x14ac:dyDescent="0.25">
      <c r="A1936" s="178" t="s">
        <v>573</v>
      </c>
      <c r="B1936" s="27" t="s">
        <v>5466</v>
      </c>
    </row>
    <row r="1937" spans="1:2" x14ac:dyDescent="0.25">
      <c r="A1937" s="178" t="s">
        <v>174</v>
      </c>
      <c r="B1937" s="27" t="s">
        <v>5467</v>
      </c>
    </row>
    <row r="1938" spans="1:2" x14ac:dyDescent="0.25">
      <c r="A1938" s="178" t="s">
        <v>171</v>
      </c>
      <c r="B1938" s="27" t="s">
        <v>5468</v>
      </c>
    </row>
    <row r="1939" spans="1:2" x14ac:dyDescent="0.25">
      <c r="A1939" s="178" t="s">
        <v>579</v>
      </c>
      <c r="B1939" s="27" t="s">
        <v>5469</v>
      </c>
    </row>
    <row r="1940" spans="1:2" x14ac:dyDescent="0.25">
      <c r="A1940" s="178" t="s">
        <v>176</v>
      </c>
      <c r="B1940" s="27" t="s">
        <v>5470</v>
      </c>
    </row>
    <row r="1941" spans="1:2" x14ac:dyDescent="0.25">
      <c r="A1941" s="178" t="s">
        <v>594</v>
      </c>
      <c r="B1941" s="27" t="s">
        <v>5471</v>
      </c>
    </row>
    <row r="1942" spans="1:2" x14ac:dyDescent="0.25">
      <c r="A1942" s="178" t="s">
        <v>599</v>
      </c>
      <c r="B1942" s="27" t="s">
        <v>5472</v>
      </c>
    </row>
    <row r="1943" spans="1:2" x14ac:dyDescent="0.25">
      <c r="A1943" s="178" t="s">
        <v>604</v>
      </c>
      <c r="B1943" s="27" t="s">
        <v>5473</v>
      </c>
    </row>
    <row r="1944" spans="1:2" x14ac:dyDescent="0.25">
      <c r="A1944" s="178" t="s">
        <v>1177</v>
      </c>
      <c r="B1944" s="255" t="s">
        <v>5474</v>
      </c>
    </row>
    <row r="1945" spans="1:2" x14ac:dyDescent="0.25">
      <c r="A1945" s="178" t="s">
        <v>1182</v>
      </c>
      <c r="B1945" s="255" t="s">
        <v>5475</v>
      </c>
    </row>
    <row r="1946" spans="1:2" x14ac:dyDescent="0.25">
      <c r="A1946" s="178" t="s">
        <v>613</v>
      </c>
      <c r="B1946" s="27" t="s">
        <v>5476</v>
      </c>
    </row>
    <row r="1947" spans="1:2" x14ac:dyDescent="0.25">
      <c r="A1947" s="178" t="s">
        <v>246</v>
      </c>
      <c r="B1947" s="27" t="s">
        <v>5477</v>
      </c>
    </row>
    <row r="1948" spans="1:2" x14ac:dyDescent="0.25">
      <c r="A1948" s="178" t="s">
        <v>616</v>
      </c>
      <c r="B1948" s="27" t="s">
        <v>5478</v>
      </c>
    </row>
    <row r="1949" spans="1:2" x14ac:dyDescent="0.25">
      <c r="A1949" s="178" t="s">
        <v>609</v>
      </c>
      <c r="B1949" s="27" t="s">
        <v>5479</v>
      </c>
    </row>
    <row r="1950" spans="1:2" x14ac:dyDescent="0.25">
      <c r="A1950" s="178" t="s">
        <v>614</v>
      </c>
      <c r="B1950" s="27" t="s">
        <v>5480</v>
      </c>
    </row>
    <row r="1951" spans="1:2" x14ac:dyDescent="0.25">
      <c r="A1951" s="178" t="s">
        <v>5481</v>
      </c>
      <c r="B1951" s="27" t="s">
        <v>5482</v>
      </c>
    </row>
    <row r="1952" spans="1:2" x14ac:dyDescent="0.25">
      <c r="A1952" s="178" t="s">
        <v>666</v>
      </c>
      <c r="B1952" s="27" t="s">
        <v>5483</v>
      </c>
    </row>
    <row r="1953" spans="1:2" x14ac:dyDescent="0.25">
      <c r="A1953" s="178" t="s">
        <v>186</v>
      </c>
      <c r="B1953" s="27" t="s">
        <v>5484</v>
      </c>
    </row>
    <row r="1954" spans="1:2" x14ac:dyDescent="0.25">
      <c r="A1954" s="178" t="s">
        <v>5485</v>
      </c>
      <c r="B1954" s="27" t="s">
        <v>5486</v>
      </c>
    </row>
    <row r="1955" spans="1:2" x14ac:dyDescent="0.25">
      <c r="A1955" s="178" t="s">
        <v>676</v>
      </c>
      <c r="B1955" s="27" t="s">
        <v>5487</v>
      </c>
    </row>
    <row r="1956" spans="1:2" x14ac:dyDescent="0.25">
      <c r="A1956" s="178" t="s">
        <v>798</v>
      </c>
      <c r="B1956" s="27" t="s">
        <v>5488</v>
      </c>
    </row>
    <row r="1957" spans="1:2" x14ac:dyDescent="0.25">
      <c r="A1957" s="178" t="s">
        <v>5489</v>
      </c>
      <c r="B1957" s="27" t="s">
        <v>5490</v>
      </c>
    </row>
    <row r="1958" spans="1:2" x14ac:dyDescent="0.25">
      <c r="A1958" s="178" t="s">
        <v>808</v>
      </c>
      <c r="B1958" s="27" t="s">
        <v>5491</v>
      </c>
    </row>
    <row r="1959" spans="1:2" x14ac:dyDescent="0.25">
      <c r="A1959" s="178" t="s">
        <v>810</v>
      </c>
      <c r="B1959" s="27" t="s">
        <v>5492</v>
      </c>
    </row>
    <row r="1960" spans="1:2" x14ac:dyDescent="0.25">
      <c r="A1960" s="178" t="s">
        <v>5493</v>
      </c>
      <c r="B1960" s="27" t="s">
        <v>5494</v>
      </c>
    </row>
    <row r="1961" spans="1:2" x14ac:dyDescent="0.25">
      <c r="A1961" s="178" t="s">
        <v>827</v>
      </c>
      <c r="B1961" s="27" t="s">
        <v>5495</v>
      </c>
    </row>
    <row r="1962" spans="1:2" x14ac:dyDescent="0.25">
      <c r="A1962" s="178" t="s">
        <v>5496</v>
      </c>
      <c r="B1962" s="27" t="s">
        <v>5497</v>
      </c>
    </row>
    <row r="1963" spans="1:2" x14ac:dyDescent="0.25">
      <c r="A1963" s="178" t="s">
        <v>1020</v>
      </c>
      <c r="B1963" s="255" t="s">
        <v>5498</v>
      </c>
    </row>
    <row r="1964" spans="1:2" x14ac:dyDescent="0.25">
      <c r="A1964" s="178" t="s">
        <v>1022</v>
      </c>
      <c r="B1964" s="255" t="s">
        <v>5499</v>
      </c>
    </row>
    <row r="1965" spans="1:2" x14ac:dyDescent="0.25">
      <c r="A1965" s="178" t="s">
        <v>1029</v>
      </c>
      <c r="B1965" s="255" t="s">
        <v>5500</v>
      </c>
    </row>
    <row r="1966" spans="1:2" x14ac:dyDescent="0.25">
      <c r="A1966" s="178" t="s">
        <v>1196</v>
      </c>
      <c r="B1966" s="255" t="s">
        <v>5501</v>
      </c>
    </row>
    <row r="1967" spans="1:2" x14ac:dyDescent="0.25">
      <c r="A1967" s="178" t="s">
        <v>1163</v>
      </c>
      <c r="B1967" s="255" t="s">
        <v>5502</v>
      </c>
    </row>
    <row r="1968" spans="1:2" x14ac:dyDescent="0.25">
      <c r="A1968" s="178" t="s">
        <v>1158</v>
      </c>
      <c r="B1968" s="255" t="s">
        <v>5503</v>
      </c>
    </row>
    <row r="1969" spans="1:2" x14ac:dyDescent="0.25">
      <c r="A1969" s="178" t="s">
        <v>1170</v>
      </c>
      <c r="B1969" s="255" t="s">
        <v>5504</v>
      </c>
    </row>
    <row r="1970" spans="1:2" x14ac:dyDescent="0.25">
      <c r="A1970" s="178" t="s">
        <v>1172</v>
      </c>
      <c r="B1970" s="27" t="s">
        <v>5505</v>
      </c>
    </row>
    <row r="1971" spans="1:2" x14ac:dyDescent="0.25">
      <c r="A1971" s="178" t="s">
        <v>432</v>
      </c>
      <c r="B1971" s="27" t="s">
        <v>5506</v>
      </c>
    </row>
    <row r="1972" spans="1:2" x14ac:dyDescent="0.25">
      <c r="A1972" s="178" t="s">
        <v>1134</v>
      </c>
      <c r="B1972" s="27" t="s">
        <v>5507</v>
      </c>
    </row>
    <row r="1973" spans="1:2" x14ac:dyDescent="0.25">
      <c r="A1973" s="178" t="s">
        <v>1137</v>
      </c>
      <c r="B1973" s="255" t="s">
        <v>5508</v>
      </c>
    </row>
    <row r="1974" spans="1:2" x14ac:dyDescent="0.25">
      <c r="A1974" s="178" t="s">
        <v>1087</v>
      </c>
      <c r="B1974" s="255" t="s">
        <v>5509</v>
      </c>
    </row>
    <row r="1975" spans="1:2" x14ac:dyDescent="0.25">
      <c r="A1975" s="178" t="s">
        <v>241</v>
      </c>
      <c r="B1975" s="255" t="s">
        <v>5510</v>
      </c>
    </row>
    <row r="1976" spans="1:2" x14ac:dyDescent="0.25">
      <c r="A1976" s="178" t="s">
        <v>5511</v>
      </c>
      <c r="B1976" s="255" t="s">
        <v>5512</v>
      </c>
    </row>
    <row r="1977" spans="1:2" x14ac:dyDescent="0.25">
      <c r="A1977" s="178" t="s">
        <v>1047</v>
      </c>
      <c r="B1977" s="255" t="s">
        <v>5513</v>
      </c>
    </row>
    <row r="1978" spans="1:2" x14ac:dyDescent="0.25">
      <c r="A1978" s="178" t="s">
        <v>290</v>
      </c>
      <c r="B1978" s="255" t="s">
        <v>5514</v>
      </c>
    </row>
    <row r="1979" spans="1:2" x14ac:dyDescent="0.25">
      <c r="A1979" s="178" t="s">
        <v>845</v>
      </c>
      <c r="B1979" s="255" t="s">
        <v>5515</v>
      </c>
    </row>
    <row r="1980" spans="1:2" x14ac:dyDescent="0.25">
      <c r="A1980" s="178" t="s">
        <v>522</v>
      </c>
      <c r="B1980" s="255" t="s">
        <v>5516</v>
      </c>
    </row>
    <row r="1981" spans="1:2" x14ac:dyDescent="0.25">
      <c r="A1981" s="259"/>
      <c r="B1981" s="260"/>
    </row>
    <row r="1982" spans="1:2" x14ac:dyDescent="0.25"/>
    <row r="1983" spans="1:2" x14ac:dyDescent="0.25"/>
    <row r="1984" spans="1:2" x14ac:dyDescent="0.25"/>
    <row r="1985" x14ac:dyDescent="0.25"/>
    <row r="1986" x14ac:dyDescent="0.25"/>
    <row r="1987" x14ac:dyDescent="0.25"/>
    <row r="1988" x14ac:dyDescent="0.25"/>
    <row r="1989" x14ac:dyDescent="0.25"/>
    <row r="1990" x14ac:dyDescent="0.25"/>
    <row r="1991" x14ac:dyDescent="0.25"/>
    <row r="1992" x14ac:dyDescent="0.25"/>
    <row r="1993" x14ac:dyDescent="0.25"/>
    <row r="1994" x14ac:dyDescent="0.25"/>
    <row r="1995" x14ac:dyDescent="0.25"/>
    <row r="1996" x14ac:dyDescent="0.25"/>
    <row r="1997" x14ac:dyDescent="0.25"/>
    <row r="1998" x14ac:dyDescent="0.25"/>
    <row r="1999" x14ac:dyDescent="0.25"/>
    <row r="2000" x14ac:dyDescent="0.25"/>
    <row r="2001" x14ac:dyDescent="0.25"/>
    <row r="2002" x14ac:dyDescent="0.25"/>
    <row r="2003" x14ac:dyDescent="0.25"/>
    <row r="2004" x14ac:dyDescent="0.25"/>
    <row r="2005" x14ac:dyDescent="0.25"/>
    <row r="2006" x14ac:dyDescent="0.25"/>
    <row r="2007" x14ac:dyDescent="0.25"/>
    <row r="2008" x14ac:dyDescent="0.25"/>
    <row r="2009" x14ac:dyDescent="0.25"/>
    <row r="2010" x14ac:dyDescent="0.25"/>
    <row r="2011" x14ac:dyDescent="0.25"/>
    <row r="2012" x14ac:dyDescent="0.25"/>
    <row r="2013" x14ac:dyDescent="0.25"/>
    <row r="2014" x14ac:dyDescent="0.25"/>
    <row r="2015" x14ac:dyDescent="0.25"/>
    <row r="2016" x14ac:dyDescent="0.25"/>
    <row r="2017" x14ac:dyDescent="0.25"/>
    <row r="2018" x14ac:dyDescent="0.25"/>
    <row r="2019" x14ac:dyDescent="0.25"/>
    <row r="2020" x14ac:dyDescent="0.25"/>
    <row r="2021" x14ac:dyDescent="0.25"/>
    <row r="2022" x14ac:dyDescent="0.25"/>
    <row r="2023" x14ac:dyDescent="0.25"/>
    <row r="2024" x14ac:dyDescent="0.25"/>
    <row r="2025" x14ac:dyDescent="0.25"/>
    <row r="2026" x14ac:dyDescent="0.25"/>
    <row r="2027" x14ac:dyDescent="0.25"/>
    <row r="2028" x14ac:dyDescent="0.25"/>
    <row r="2029" x14ac:dyDescent="0.25"/>
    <row r="2030" x14ac:dyDescent="0.25"/>
    <row r="2031" x14ac:dyDescent="0.25"/>
    <row r="2032" x14ac:dyDescent="0.25"/>
    <row r="2033" x14ac:dyDescent="0.25"/>
    <row r="2034" x14ac:dyDescent="0.25"/>
    <row r="2035" x14ac:dyDescent="0.25"/>
    <row r="2036" x14ac:dyDescent="0.25"/>
    <row r="2037" x14ac:dyDescent="0.25"/>
    <row r="2038" x14ac:dyDescent="0.25"/>
    <row r="2039" x14ac:dyDescent="0.25"/>
    <row r="2040" x14ac:dyDescent="0.25"/>
    <row r="2041" x14ac:dyDescent="0.25"/>
    <row r="2042" x14ac:dyDescent="0.25"/>
    <row r="2043" x14ac:dyDescent="0.25"/>
    <row r="2044" x14ac:dyDescent="0.25"/>
    <row r="2045" x14ac:dyDescent="0.25"/>
    <row r="2046" x14ac:dyDescent="0.25"/>
    <row r="2047" x14ac:dyDescent="0.25"/>
    <row r="2048" x14ac:dyDescent="0.25"/>
    <row r="2049" x14ac:dyDescent="0.25"/>
    <row r="2050" x14ac:dyDescent="0.25"/>
    <row r="2051" x14ac:dyDescent="0.25"/>
    <row r="2052" x14ac:dyDescent="0.25"/>
    <row r="2053" x14ac:dyDescent="0.25"/>
    <row r="2054" x14ac:dyDescent="0.25"/>
    <row r="2055" x14ac:dyDescent="0.25"/>
    <row r="2056" x14ac:dyDescent="0.25"/>
    <row r="2057" x14ac:dyDescent="0.25"/>
    <row r="2058" x14ac:dyDescent="0.25"/>
    <row r="2059" x14ac:dyDescent="0.25"/>
    <row r="2060" x14ac:dyDescent="0.25"/>
    <row r="2061" x14ac:dyDescent="0.25"/>
    <row r="2062" x14ac:dyDescent="0.25"/>
    <row r="2063" x14ac:dyDescent="0.25"/>
    <row r="2064" x14ac:dyDescent="0.25"/>
    <row r="2065" x14ac:dyDescent="0.25"/>
    <row r="2066" x14ac:dyDescent="0.25"/>
    <row r="2067" x14ac:dyDescent="0.25"/>
    <row r="2068" x14ac:dyDescent="0.25"/>
    <row r="2069" x14ac:dyDescent="0.25"/>
    <row r="2070" x14ac:dyDescent="0.25"/>
    <row r="2071" x14ac:dyDescent="0.25"/>
    <row r="2072" x14ac:dyDescent="0.25"/>
    <row r="2073" x14ac:dyDescent="0.25"/>
    <row r="2074" x14ac:dyDescent="0.25"/>
    <row r="2075" x14ac:dyDescent="0.25"/>
    <row r="2076" x14ac:dyDescent="0.25"/>
    <row r="2077" x14ac:dyDescent="0.25"/>
    <row r="2078" x14ac:dyDescent="0.25"/>
    <row r="2079" x14ac:dyDescent="0.25"/>
    <row r="2080" x14ac:dyDescent="0.25"/>
    <row r="2081" x14ac:dyDescent="0.25"/>
    <row r="2082" x14ac:dyDescent="0.25"/>
    <row r="2083" x14ac:dyDescent="0.25"/>
    <row r="2084" x14ac:dyDescent="0.25"/>
    <row r="2085" x14ac:dyDescent="0.25"/>
    <row r="2086" x14ac:dyDescent="0.25"/>
    <row r="2087" x14ac:dyDescent="0.25"/>
    <row r="2088" x14ac:dyDescent="0.25"/>
    <row r="2089" x14ac:dyDescent="0.25"/>
    <row r="2090" x14ac:dyDescent="0.25"/>
    <row r="2091" x14ac:dyDescent="0.25"/>
    <row r="2092" x14ac:dyDescent="0.25"/>
    <row r="2093" x14ac:dyDescent="0.25"/>
    <row r="2094" x14ac:dyDescent="0.25"/>
    <row r="2095" x14ac:dyDescent="0.25"/>
    <row r="2096" x14ac:dyDescent="0.25"/>
    <row r="2097" x14ac:dyDescent="0.25"/>
    <row r="2098" x14ac:dyDescent="0.25"/>
    <row r="2099" x14ac:dyDescent="0.25"/>
    <row r="2100" x14ac:dyDescent="0.25"/>
    <row r="2101" x14ac:dyDescent="0.25"/>
    <row r="2102" x14ac:dyDescent="0.25"/>
    <row r="2103" x14ac:dyDescent="0.25"/>
    <row r="2104" x14ac:dyDescent="0.25"/>
    <row r="2105" x14ac:dyDescent="0.25"/>
    <row r="2106" x14ac:dyDescent="0.25"/>
    <row r="2107" x14ac:dyDescent="0.25"/>
    <row r="2108" x14ac:dyDescent="0.25"/>
    <row r="2109" x14ac:dyDescent="0.25"/>
    <row r="2110" x14ac:dyDescent="0.25"/>
    <row r="2111" x14ac:dyDescent="0.25"/>
    <row r="2112" x14ac:dyDescent="0.25"/>
    <row r="2113" x14ac:dyDescent="0.25"/>
    <row r="2114" x14ac:dyDescent="0.25"/>
    <row r="2115" x14ac:dyDescent="0.25"/>
    <row r="2116" x14ac:dyDescent="0.25"/>
    <row r="2117" x14ac:dyDescent="0.25"/>
    <row r="2118" x14ac:dyDescent="0.25"/>
    <row r="2119" x14ac:dyDescent="0.25"/>
    <row r="2120" x14ac:dyDescent="0.25"/>
    <row r="2121" x14ac:dyDescent="0.25"/>
    <row r="2122" x14ac:dyDescent="0.25"/>
    <row r="2123" x14ac:dyDescent="0.25"/>
    <row r="2124" x14ac:dyDescent="0.25"/>
    <row r="2125" x14ac:dyDescent="0.25"/>
    <row r="2126" x14ac:dyDescent="0.25"/>
    <row r="2127" x14ac:dyDescent="0.25"/>
    <row r="2128" x14ac:dyDescent="0.25"/>
    <row r="2129" x14ac:dyDescent="0.25"/>
    <row r="2130" x14ac:dyDescent="0.25"/>
    <row r="2131" x14ac:dyDescent="0.25"/>
    <row r="2132" x14ac:dyDescent="0.25"/>
    <row r="2133" x14ac:dyDescent="0.25"/>
    <row r="2134" x14ac:dyDescent="0.25"/>
    <row r="2135" x14ac:dyDescent="0.25"/>
    <row r="2136" x14ac:dyDescent="0.25"/>
    <row r="2137" x14ac:dyDescent="0.25"/>
    <row r="2138" x14ac:dyDescent="0.25"/>
    <row r="2139" x14ac:dyDescent="0.25"/>
    <row r="2140" x14ac:dyDescent="0.25"/>
    <row r="2141" x14ac:dyDescent="0.25"/>
    <row r="2142" x14ac:dyDescent="0.25"/>
    <row r="2143" x14ac:dyDescent="0.25"/>
    <row r="2144" x14ac:dyDescent="0.25"/>
    <row r="2145" x14ac:dyDescent="0.25"/>
    <row r="2146" x14ac:dyDescent="0.25"/>
    <row r="2147" x14ac:dyDescent="0.25"/>
    <row r="2148" x14ac:dyDescent="0.25"/>
    <row r="2149" x14ac:dyDescent="0.25"/>
    <row r="2150" x14ac:dyDescent="0.25"/>
    <row r="2151" x14ac:dyDescent="0.25"/>
    <row r="2152" x14ac:dyDescent="0.25"/>
    <row r="2153" x14ac:dyDescent="0.25"/>
    <row r="2154" x14ac:dyDescent="0.25"/>
    <row r="2155" x14ac:dyDescent="0.25"/>
    <row r="2156" x14ac:dyDescent="0.25"/>
    <row r="2157" x14ac:dyDescent="0.25"/>
    <row r="2158" x14ac:dyDescent="0.25"/>
    <row r="2159" x14ac:dyDescent="0.25"/>
    <row r="2160" x14ac:dyDescent="0.25"/>
    <row r="2161" x14ac:dyDescent="0.25"/>
    <row r="2162" x14ac:dyDescent="0.25"/>
    <row r="2163" x14ac:dyDescent="0.25"/>
    <row r="2164" x14ac:dyDescent="0.25"/>
    <row r="2165" x14ac:dyDescent="0.25"/>
    <row r="2166" x14ac:dyDescent="0.25"/>
    <row r="2167" x14ac:dyDescent="0.25"/>
    <row r="2168" x14ac:dyDescent="0.25"/>
    <row r="2169" x14ac:dyDescent="0.25"/>
    <row r="2170" x14ac:dyDescent="0.25"/>
    <row r="2171" x14ac:dyDescent="0.25"/>
    <row r="2172" x14ac:dyDescent="0.25"/>
    <row r="2173" x14ac:dyDescent="0.25"/>
    <row r="2174" x14ac:dyDescent="0.25"/>
    <row r="2175" x14ac:dyDescent="0.25"/>
    <row r="2176" x14ac:dyDescent="0.25"/>
    <row r="2177" x14ac:dyDescent="0.25"/>
    <row r="2178" x14ac:dyDescent="0.25"/>
    <row r="2179" x14ac:dyDescent="0.25"/>
    <row r="2180" x14ac:dyDescent="0.25"/>
    <row r="2181" x14ac:dyDescent="0.25"/>
    <row r="2182" x14ac:dyDescent="0.25"/>
    <row r="2183" x14ac:dyDescent="0.25"/>
    <row r="2184" x14ac:dyDescent="0.25"/>
    <row r="2185" x14ac:dyDescent="0.25"/>
    <row r="2186" x14ac:dyDescent="0.25"/>
    <row r="2187" x14ac:dyDescent="0.25"/>
    <row r="2188" x14ac:dyDescent="0.25"/>
    <row r="2189" x14ac:dyDescent="0.25"/>
    <row r="2190" x14ac:dyDescent="0.25"/>
    <row r="2191" x14ac:dyDescent="0.25"/>
    <row r="2192" x14ac:dyDescent="0.25"/>
    <row r="2193" x14ac:dyDescent="0.25"/>
    <row r="2194" x14ac:dyDescent="0.25"/>
    <row r="2195" x14ac:dyDescent="0.25"/>
    <row r="2196" x14ac:dyDescent="0.25"/>
    <row r="2197" x14ac:dyDescent="0.25"/>
    <row r="2198" x14ac:dyDescent="0.25"/>
    <row r="2199" x14ac:dyDescent="0.25"/>
    <row r="2200" x14ac:dyDescent="0.25"/>
    <row r="2201" x14ac:dyDescent="0.25"/>
    <row r="2202" x14ac:dyDescent="0.25"/>
    <row r="2203" x14ac:dyDescent="0.25"/>
    <row r="2204" x14ac:dyDescent="0.25"/>
    <row r="2205" x14ac:dyDescent="0.25"/>
    <row r="2206" x14ac:dyDescent="0.25"/>
    <row r="2207" x14ac:dyDescent="0.25"/>
    <row r="2208" x14ac:dyDescent="0.25"/>
    <row r="2209" x14ac:dyDescent="0.25"/>
    <row r="2210" x14ac:dyDescent="0.25"/>
    <row r="2211" x14ac:dyDescent="0.25"/>
    <row r="2212" x14ac:dyDescent="0.25"/>
    <row r="2213" x14ac:dyDescent="0.25"/>
    <row r="2214" x14ac:dyDescent="0.25"/>
    <row r="2215" x14ac:dyDescent="0.25"/>
    <row r="2216" x14ac:dyDescent="0.25"/>
    <row r="2217" x14ac:dyDescent="0.25"/>
    <row r="2218" x14ac:dyDescent="0.25"/>
    <row r="2219" x14ac:dyDescent="0.25"/>
    <row r="2220" x14ac:dyDescent="0.25"/>
    <row r="2221" x14ac:dyDescent="0.25"/>
    <row r="2222" x14ac:dyDescent="0.25"/>
    <row r="2223" x14ac:dyDescent="0.25"/>
    <row r="2224" x14ac:dyDescent="0.25"/>
    <row r="2225" x14ac:dyDescent="0.25"/>
    <row r="2226" x14ac:dyDescent="0.25"/>
    <row r="2227" x14ac:dyDescent="0.25"/>
    <row r="2228" x14ac:dyDescent="0.25"/>
    <row r="2229" x14ac:dyDescent="0.25"/>
    <row r="2230" x14ac:dyDescent="0.25"/>
    <row r="2231" x14ac:dyDescent="0.25"/>
    <row r="2232" x14ac:dyDescent="0.25"/>
    <row r="2233" x14ac:dyDescent="0.25"/>
    <row r="2234" x14ac:dyDescent="0.25"/>
    <row r="2235" x14ac:dyDescent="0.25"/>
    <row r="2236" x14ac:dyDescent="0.25"/>
    <row r="2237" x14ac:dyDescent="0.25"/>
    <row r="2238" x14ac:dyDescent="0.25"/>
    <row r="2239" x14ac:dyDescent="0.25"/>
    <row r="2240" x14ac:dyDescent="0.25"/>
    <row r="2241" x14ac:dyDescent="0.25"/>
    <row r="2242" x14ac:dyDescent="0.25"/>
    <row r="2243" x14ac:dyDescent="0.25"/>
    <row r="2244" x14ac:dyDescent="0.25"/>
    <row r="2245" x14ac:dyDescent="0.25"/>
    <row r="2246" x14ac:dyDescent="0.25"/>
    <row r="2247" x14ac:dyDescent="0.25"/>
    <row r="2248" x14ac:dyDescent="0.25"/>
    <row r="2249" x14ac:dyDescent="0.25"/>
    <row r="2250" x14ac:dyDescent="0.25"/>
    <row r="2251" x14ac:dyDescent="0.25"/>
    <row r="2252" x14ac:dyDescent="0.25"/>
    <row r="2253" x14ac:dyDescent="0.25"/>
    <row r="2254" x14ac:dyDescent="0.25"/>
    <row r="2255" x14ac:dyDescent="0.25"/>
    <row r="2256" x14ac:dyDescent="0.25"/>
    <row r="2257" x14ac:dyDescent="0.25"/>
    <row r="2258" x14ac:dyDescent="0.25"/>
    <row r="2259" x14ac:dyDescent="0.25"/>
    <row r="2260" x14ac:dyDescent="0.25"/>
    <row r="2261" x14ac:dyDescent="0.25"/>
    <row r="2262" x14ac:dyDescent="0.25"/>
    <row r="2263" x14ac:dyDescent="0.25"/>
    <row r="2264" x14ac:dyDescent="0.25"/>
    <row r="2265" x14ac:dyDescent="0.25"/>
    <row r="2266" x14ac:dyDescent="0.25"/>
    <row r="2267" x14ac:dyDescent="0.25"/>
    <row r="2268" x14ac:dyDescent="0.25"/>
    <row r="2269" x14ac:dyDescent="0.25"/>
    <row r="2270" x14ac:dyDescent="0.25"/>
    <row r="2271" x14ac:dyDescent="0.25"/>
    <row r="2272" x14ac:dyDescent="0.25"/>
    <row r="2273" x14ac:dyDescent="0.25"/>
    <row r="2274" x14ac:dyDescent="0.25"/>
    <row r="2275" x14ac:dyDescent="0.25"/>
    <row r="2276" x14ac:dyDescent="0.25"/>
    <row r="2277" x14ac:dyDescent="0.25"/>
    <row r="2278" x14ac:dyDescent="0.25"/>
    <row r="2279" x14ac:dyDescent="0.25"/>
    <row r="2280" x14ac:dyDescent="0.25"/>
    <row r="2281" x14ac:dyDescent="0.25"/>
    <row r="2282" x14ac:dyDescent="0.25"/>
    <row r="2283" x14ac:dyDescent="0.25"/>
    <row r="2284" x14ac:dyDescent="0.25"/>
    <row r="2285" x14ac:dyDescent="0.25"/>
    <row r="2286" x14ac:dyDescent="0.25"/>
    <row r="2287" x14ac:dyDescent="0.25"/>
    <row r="2288" x14ac:dyDescent="0.25"/>
    <row r="2289" x14ac:dyDescent="0.25"/>
    <row r="2290" x14ac:dyDescent="0.25"/>
    <row r="2291" x14ac:dyDescent="0.25"/>
    <row r="2292" x14ac:dyDescent="0.25"/>
    <row r="2293" x14ac:dyDescent="0.25"/>
    <row r="2294" x14ac:dyDescent="0.25"/>
    <row r="2295" x14ac:dyDescent="0.25"/>
    <row r="2296" x14ac:dyDescent="0.25"/>
    <row r="2297" x14ac:dyDescent="0.25"/>
    <row r="2298" x14ac:dyDescent="0.25"/>
    <row r="2299" x14ac:dyDescent="0.25"/>
    <row r="2300" x14ac:dyDescent="0.25"/>
    <row r="2301" x14ac:dyDescent="0.25"/>
    <row r="2302" x14ac:dyDescent="0.25"/>
    <row r="2303" x14ac:dyDescent="0.25"/>
    <row r="2304" x14ac:dyDescent="0.25"/>
    <row r="2305" x14ac:dyDescent="0.25"/>
    <row r="2306" x14ac:dyDescent="0.25"/>
    <row r="2307" x14ac:dyDescent="0.25"/>
    <row r="2308" x14ac:dyDescent="0.25"/>
    <row r="2309" x14ac:dyDescent="0.25"/>
    <row r="2310" x14ac:dyDescent="0.25"/>
    <row r="2311" x14ac:dyDescent="0.25"/>
    <row r="2312" x14ac:dyDescent="0.25"/>
    <row r="2313" x14ac:dyDescent="0.25"/>
    <row r="2314" x14ac:dyDescent="0.25"/>
    <row r="2315" x14ac:dyDescent="0.25"/>
    <row r="2316" x14ac:dyDescent="0.25"/>
    <row r="2317" x14ac:dyDescent="0.25"/>
    <row r="2318" x14ac:dyDescent="0.25"/>
    <row r="2319" x14ac:dyDescent="0.25"/>
    <row r="2320" x14ac:dyDescent="0.25"/>
    <row r="2321" x14ac:dyDescent="0.25"/>
    <row r="2322" x14ac:dyDescent="0.25"/>
    <row r="2323" x14ac:dyDescent="0.25"/>
    <row r="2324" x14ac:dyDescent="0.25"/>
    <row r="2325" x14ac:dyDescent="0.25"/>
    <row r="2326" x14ac:dyDescent="0.25"/>
    <row r="2327" x14ac:dyDescent="0.25"/>
    <row r="2328" x14ac:dyDescent="0.25"/>
    <row r="2329" x14ac:dyDescent="0.25"/>
    <row r="2330" x14ac:dyDescent="0.25"/>
    <row r="2331" x14ac:dyDescent="0.25"/>
    <row r="2332" x14ac:dyDescent="0.25"/>
    <row r="2333" x14ac:dyDescent="0.25"/>
    <row r="2334" x14ac:dyDescent="0.25"/>
    <row r="2335" x14ac:dyDescent="0.25"/>
    <row r="2336" x14ac:dyDescent="0.25"/>
    <row r="2337" x14ac:dyDescent="0.25"/>
    <row r="2338" x14ac:dyDescent="0.25"/>
    <row r="2339" x14ac:dyDescent="0.25"/>
    <row r="2340" x14ac:dyDescent="0.25"/>
    <row r="2341" x14ac:dyDescent="0.25"/>
    <row r="2342" x14ac:dyDescent="0.25"/>
    <row r="2343" x14ac:dyDescent="0.25"/>
    <row r="2344" x14ac:dyDescent="0.25"/>
    <row r="2345" x14ac:dyDescent="0.25"/>
    <row r="2346" x14ac:dyDescent="0.25"/>
    <row r="2347" x14ac:dyDescent="0.25"/>
    <row r="2348" x14ac:dyDescent="0.25"/>
    <row r="2349" x14ac:dyDescent="0.25"/>
    <row r="2350" x14ac:dyDescent="0.25"/>
    <row r="2351" x14ac:dyDescent="0.25"/>
    <row r="2352" x14ac:dyDescent="0.25"/>
    <row r="2353" x14ac:dyDescent="0.25"/>
    <row r="2354" x14ac:dyDescent="0.25"/>
    <row r="2355" x14ac:dyDescent="0.25"/>
    <row r="2356" x14ac:dyDescent="0.25"/>
    <row r="2357" x14ac:dyDescent="0.25"/>
    <row r="2358" x14ac:dyDescent="0.25"/>
    <row r="2359"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GRE-Remitente</vt:lpstr>
      <vt:lpstr>TXT-JSON-GRE-Remitente</vt:lpstr>
      <vt:lpstr>GRE-R-TXT</vt:lpstr>
      <vt:lpstr>GRE-Transportista</vt:lpstr>
      <vt:lpstr>TXT-JSON-GRE-Transportista</vt:lpstr>
      <vt:lpstr>GRE-T-TXT</vt:lpstr>
      <vt:lpstr>Catalogos</vt:lpstr>
      <vt:lpstr>Codigos retorno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Juana</dc:creator>
  <cp:lastModifiedBy>Juana</cp:lastModifiedBy>
  <dcterms:created xsi:type="dcterms:W3CDTF">2022-09-27T15:13:29Z</dcterms:created>
  <dcterms:modified xsi:type="dcterms:W3CDTF">2022-10-07T14:55:08Z</dcterms:modified>
</cp:coreProperties>
</file>